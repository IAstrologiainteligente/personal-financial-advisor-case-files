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965d8b70b7c10/Documentos/Documents/"/>
    </mc:Choice>
  </mc:AlternateContent>
  <xr:revisionPtr revIDLastSave="62" documentId="8_{B1E6FCBD-101F-4980-BD9F-2FBEAC8B54E7}" xr6:coauthVersionLast="47" xr6:coauthVersionMax="47" xr10:uidLastSave="{108CCCEA-9C5A-43C5-8355-D26583C67E65}"/>
  <bookViews>
    <workbookView xWindow="11190" yWindow="0" windowWidth="11460" windowHeight="14410" firstSheet="2" activeTab="2" xr2:uid="{38A68108-0A27-4D04-BCE9-C65F80CD624E}"/>
  </bookViews>
  <sheets>
    <sheet name="Assumptions" sheetId="12" r:id="rId1"/>
    <sheet name="Monthly forecast" sheetId="13" r:id="rId2"/>
    <sheet name="Detailed Cash Flow" sheetId="14" r:id="rId3"/>
    <sheet name="Scenario Summar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" i="14" l="1"/>
  <c r="M14" i="14"/>
  <c r="L14" i="14"/>
  <c r="K14" i="14"/>
  <c r="J14" i="14"/>
  <c r="I14" i="14"/>
  <c r="H14" i="14"/>
  <c r="G14" i="14"/>
  <c r="F14" i="14"/>
  <c r="E14" i="14"/>
  <c r="D14" i="14"/>
  <c r="C14" i="14"/>
  <c r="B14" i="14"/>
  <c r="I3" i="13"/>
  <c r="I2" i="13"/>
  <c r="H4" i="13"/>
  <c r="I4" i="13" s="1"/>
  <c r="H5" i="13" s="1"/>
  <c r="I5" i="13" s="1"/>
  <c r="H6" i="13" s="1"/>
  <c r="I6" i="13" s="1"/>
  <c r="H7" i="13" s="1"/>
  <c r="I7" i="13" s="1"/>
  <c r="H8" i="13" s="1"/>
  <c r="I8" i="13" s="1"/>
  <c r="H9" i="13" s="1"/>
  <c r="I9" i="13" s="1"/>
  <c r="H10" i="13" s="1"/>
  <c r="I10" i="13" s="1"/>
  <c r="H11" i="13" s="1"/>
  <c r="I11" i="13" s="1"/>
  <c r="H12" i="13" s="1"/>
  <c r="I12" i="13" s="1"/>
  <c r="H13" i="13" s="1"/>
  <c r="I13" i="13" s="1"/>
  <c r="H14" i="13" s="1"/>
  <c r="I14" i="13" s="1"/>
  <c r="H3" i="13"/>
  <c r="H2" i="13"/>
  <c r="F3" i="13"/>
  <c r="F4" i="13"/>
  <c r="F5" i="13"/>
  <c r="F6" i="13"/>
  <c r="F7" i="13"/>
  <c r="F8" i="13"/>
  <c r="F9" i="13"/>
  <c r="F10" i="13"/>
  <c r="F11" i="13"/>
  <c r="F12" i="13"/>
  <c r="F13" i="13"/>
  <c r="F14" i="13"/>
  <c r="F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tc={64F0FED5-D24E-44A7-875F-D8D863FC125D}</author>
    <author>tc={D47BB415-F8E0-494C-88ED-2F49B10F735B}</author>
  </authors>
  <commentList>
    <comment ref="B3" authorId="0" shapeId="0" xr:uid="{64F0FED5-D24E-44A7-875F-D8D863FC12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Effective income computed from net salary and current net housing effect supplied by client.</t>
      </text>
    </comment>
    <comment ref="B5" authorId="1" shapeId="0" xr:uid="{D47BB415-F8E0-494C-88ED-2F49B10F73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Source: consolidated recurring monthly expenses from planning conversation.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tc={00E3B69C-AA9D-4F32-8E70-556E5BB11A05}</author>
    <author>tc={EFC6CC96-261D-4771-BE68-9F1E211B3D0C}</author>
  </authors>
  <commentList>
    <comment ref="C2" authorId="0" shapeId="0" xr:uid="{00E3B69C-AA9D-4F32-8E70-556E5BB11A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Includes confirmed MBA Tutoring payment, five weeks of English Lessons, and asset sale proceeds.</t>
      </text>
    </comment>
    <comment ref="C9" authorId="1" shapeId="0" xr:uid="{EFC6CC96-261D-4771-BE68-9F1E211B3D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February extras include performance bonus and professional training honorarium.</t>
      </text>
    </comment>
  </commentList>
</comments>
</file>

<file path=xl/sharedStrings.xml><?xml version="1.0" encoding="utf-8"?>
<sst xmlns="http://schemas.openxmlformats.org/spreadsheetml/2006/main" count="121" uniqueCount="82">
  <si>
    <t>Notes</t>
  </si>
  <si>
    <t>Bradesco</t>
  </si>
  <si>
    <t>Jul/2026</t>
  </si>
  <si>
    <t>Itaú Mastercard</t>
  </si>
  <si>
    <t>Santander</t>
  </si>
  <si>
    <t>Yes</t>
  </si>
  <si>
    <t>Family Card</t>
  </si>
  <si>
    <t>Jan/2027</t>
  </si>
  <si>
    <t>Scenario</t>
  </si>
  <si>
    <t>Aug/2026</t>
  </si>
  <si>
    <t>Feb/2027</t>
  </si>
  <si>
    <t>MBA Tutoring</t>
  </si>
  <si>
    <t>Asset sale</t>
  </si>
  <si>
    <t>BRL</t>
  </si>
  <si>
    <t>Performance bonus</t>
  </si>
  <si>
    <t>Sep/2026</t>
  </si>
  <si>
    <t>Year-end salary bonus</t>
  </si>
  <si>
    <t>Dec/2026</t>
  </si>
  <si>
    <t>Professional training honorarium</t>
  </si>
  <si>
    <t>English Lessons</t>
  </si>
  <si>
    <t>Value</t>
  </si>
  <si>
    <t>Unit</t>
  </si>
  <si>
    <t>BRL/week</t>
  </si>
  <si>
    <t>No</t>
  </si>
  <si>
    <t>Month</t>
  </si>
  <si>
    <t>Oct/2026</t>
  </si>
  <si>
    <t>Nov/2026</t>
  </si>
  <si>
    <t>Mar/2027</t>
  </si>
  <si>
    <t>Apr/2027</t>
  </si>
  <si>
    <t>May/2027</t>
  </si>
  <si>
    <t>Jun/2027</t>
  </si>
  <si>
    <t>Jul/2027</t>
  </si>
  <si>
    <t>Clean month if no new debt is added.</t>
  </si>
  <si>
    <t>Summary</t>
  </si>
  <si>
    <t>English Lessons End</t>
  </si>
  <si>
    <t>MBA Tutoring After July</t>
  </si>
  <si>
    <t>January Deferral</t>
  </si>
  <si>
    <t>Minimum Ending Cash</t>
  </si>
  <si>
    <t>Month of Minimum</t>
  </si>
  <si>
    <t>Base Case</t>
  </si>
  <si>
    <t>Downside Case</t>
  </si>
  <si>
    <t>Upside Case</t>
  </si>
  <si>
    <t>Partial</t>
  </si>
  <si>
    <t>Assumption</t>
  </si>
  <si>
    <t>Starting cash before current salary</t>
  </si>
  <si>
    <t>Approximate balance after immediate small expenses.</t>
  </si>
  <si>
    <t>Base effective income until Jan/2027</t>
  </si>
  <si>
    <t>BRL/month</t>
  </si>
  <si>
    <t>Net salary plus current net housing effect.</t>
  </si>
  <si>
    <t>Base effective income from Feb/2027</t>
  </si>
  <si>
    <t>Includes higher FGTS mortgage abatement.</t>
  </si>
  <si>
    <t>Recurring expenses outside cards</t>
  </si>
  <si>
    <t>Uber, groceries, housing/school/health share, household costs, associations.</t>
  </si>
  <si>
    <t>English Lessons weekly income</t>
  </si>
  <si>
    <t>16h/week at USD 29/h using observed exchange rate.</t>
  </si>
  <si>
    <t>MBA Tutoring confirmed July payment</t>
  </si>
  <si>
    <t>Confirmed worked amount; later months paused.</t>
  </si>
  <si>
    <t>Base Effective Income</t>
  </si>
  <si>
    <t>Extra Income</t>
  </si>
  <si>
    <t>Card Payments</t>
  </si>
  <si>
    <t>Recurring Expenses</t>
  </si>
  <si>
    <t>Total Cash Needs</t>
  </si>
  <si>
    <t>Monthly Result</t>
  </si>
  <si>
    <t>Starting Cash</t>
  </si>
  <si>
    <t>Ending Cash</t>
  </si>
  <si>
    <t>Risk Flag</t>
  </si>
  <si>
    <t>Surplus</t>
  </si>
  <si>
    <t>Liquidity rebuild month after card deferral and confirmed tutoring income.</t>
  </si>
  <si>
    <t>Use cushion</t>
  </si>
  <si>
    <t>Heavy month but covered by July cushion plus English Lessons.</t>
  </si>
  <si>
    <t>Largest card pressure; performance bonus partially offsets.</t>
  </si>
  <si>
    <t>Final modeled English Lessons month in base case.</t>
  </si>
  <si>
    <t>Bridge needed</t>
  </si>
  <si>
    <t>Bridge risk if no new tutoring or English Lessons continue.</t>
  </si>
  <si>
    <t>Year-end bonus offsets part of the deficit.</t>
  </si>
  <si>
    <t>Large-card deferral scenario creates relief before February inflows.</t>
  </si>
  <si>
    <t>Structural improvement plus bonus/honorarium turns liquidity positive.</t>
  </si>
  <si>
    <t>Residual small gap, manageable after February surplus.</t>
  </si>
  <si>
    <t>Near break-even.</t>
  </si>
  <si>
    <t>Line Item</t>
  </si>
  <si>
    <t>Base effective income</t>
  </si>
  <si>
    <t>Net monthly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</si>
</sst>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;\-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rlito"/>
    </font>
    <font>
      <sz val="9"/>
      <color indexed="81"/>
      <name val="Segoe UI"/>
      <family val="2"/>
    </font>
    <font>
      <i/>
      <sz val="11"/>
      <color theme="2" tint="-0.249977111117893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1" xfId="0" applyFont="1" applyFill="1" applyBorder="1"/>
    <xf numFmtId="0" fontId="0" fillId="4" borderId="0" xfId="0" applyFill="1" applyAlignment="1">
      <alignment wrapText="1"/>
    </xf>
    <xf numFmtId="0" fontId="5" fillId="3" borderId="5" xfId="0" applyFont="1" applyFill="1" applyBorder="1"/>
    <xf numFmtId="0" fontId="3" fillId="5" borderId="2" xfId="0" applyFont="1" applyFill="1" applyBorder="1" applyAlignment="1">
      <alignment wrapText="1"/>
    </xf>
    <xf numFmtId="164" fontId="0" fillId="5" borderId="3" xfId="0" applyNumberForma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0" fillId="4" borderId="0" xfId="0" applyFill="1"/>
    <xf numFmtId="0" fontId="3" fillId="4" borderId="2" xfId="0" applyFont="1" applyFill="1" applyBorder="1" applyAlignment="1">
      <alignment wrapText="1"/>
    </xf>
    <xf numFmtId="164" fontId="0" fillId="4" borderId="3" xfId="0" applyNumberForma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6" fillId="6" borderId="0" xfId="0" applyFont="1" applyFill="1" applyAlignment="1">
      <alignment horizontal="center" vertical="center"/>
    </xf>
    <xf numFmtId="0" fontId="0" fillId="6" borderId="0" xfId="0" applyFill="1"/>
    <xf numFmtId="2" fontId="0" fillId="0" borderId="0" xfId="0" applyNumberFormat="1"/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ea Carvalho" id="{CD20A7A8-0FE3-45E5-96C0-4245141EF8B8}" userId="4c0965d8b70b7c1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29T04:29:46.35" personId="{CD20A7A8-0FE3-45E5-96C0-4245141EF8B8}" id="{64F0FED5-D24E-44A7-875F-D8D863FC125D}">
    <text>Effective income computed from net salary and current net housing effect supplied by client.</text>
  </threadedComment>
  <threadedComment ref="B5" dT="2026-06-29T04:30:02.20" personId="{CD20A7A8-0FE3-45E5-96C0-4245141EF8B8}" id="{D47BB415-F8E0-494C-88ED-2F49B10F735B}">
    <text>Source: consolidated recurring monthly expenses from planning conversation.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6-06-29T04:31:16.63" personId="{CD20A7A8-0FE3-45E5-96C0-4245141EF8B8}" id="{00E3B69C-AA9D-4F32-8E70-556E5BB11A05}">
    <text>Includes confirmed MBA Tutoring payment, five weeks of English Lessons, and asset sale proceeds.</text>
  </threadedComment>
  <threadedComment ref="C9" dT="2026-06-29T04:31:44.92" personId="{CD20A7A8-0FE3-45E5-96C0-4245141EF8B8}" id="{EFC6CC96-261D-4771-BE68-9F1E211B3D0C}">
    <text>February extras include performance bonus and professional training honorarium.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79DF-BC4B-45DD-8650-A9585A50F2AC}">
  <dimension ref="A1:S7"/>
  <sheetViews>
    <sheetView zoomScale="55" zoomScaleNormal="55" workbookViewId="0">
      <selection activeCell="A20" sqref="A20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25.6328125" customWidth="1"/>
    <col min="5" max="5" width="35.6328125" customWidth="1"/>
    <col min="6" max="6" width="14.81640625" customWidth="1"/>
    <col min="7" max="7" width="62.81640625" customWidth="1"/>
  </cols>
  <sheetData>
    <row r="1" spans="1:19" s="15" customFormat="1">
      <c r="A1" s="14" t="s">
        <v>43</v>
      </c>
      <c r="B1" s="14" t="s">
        <v>20</v>
      </c>
      <c r="C1" s="14" t="s">
        <v>21</v>
      </c>
      <c r="D1" s="14" t="s">
        <v>0</v>
      </c>
      <c r="E1" s="14"/>
      <c r="F1" s="14"/>
      <c r="G1" s="14"/>
    </row>
    <row r="2" spans="1:19" s="10" customFormat="1">
      <c r="A2" t="s">
        <v>44</v>
      </c>
      <c r="B2">
        <v>69</v>
      </c>
      <c r="C2" t="s">
        <v>13</v>
      </c>
      <c r="D2" t="s">
        <v>45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s="10" customFormat="1">
      <c r="A3" t="s">
        <v>46</v>
      </c>
      <c r="B3">
        <v>17893.060000000001</v>
      </c>
      <c r="C3" t="s">
        <v>47</v>
      </c>
      <c r="D3" t="s">
        <v>48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s="5" customFormat="1">
      <c r="A4" t="s">
        <v>49</v>
      </c>
      <c r="B4">
        <v>19366.996666666666</v>
      </c>
      <c r="C4" t="s">
        <v>47</v>
      </c>
      <c r="D4" t="s">
        <v>50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>
      <c r="A5" t="s">
        <v>51</v>
      </c>
      <c r="B5">
        <v>12947.98</v>
      </c>
      <c r="C5" t="s">
        <v>47</v>
      </c>
      <c r="D5" t="s">
        <v>52</v>
      </c>
    </row>
    <row r="6" spans="1:19">
      <c r="A6" t="s">
        <v>53</v>
      </c>
      <c r="B6">
        <v>2301.1714071231963</v>
      </c>
      <c r="C6" t="s">
        <v>22</v>
      </c>
      <c r="D6" t="s">
        <v>54</v>
      </c>
    </row>
    <row r="7" spans="1:19">
      <c r="A7" t="s">
        <v>55</v>
      </c>
      <c r="B7">
        <v>8189.120279855917</v>
      </c>
      <c r="C7" t="s">
        <v>13</v>
      </c>
      <c r="D7" t="s">
        <v>56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5BBD-4055-4EB5-90F9-248EAF277D68}">
  <dimension ref="A1:S14"/>
  <sheetViews>
    <sheetView topLeftCell="F1" zoomScale="55" zoomScaleNormal="55" workbookViewId="0">
      <selection activeCell="L20" sqref="L20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25.6328125" customWidth="1"/>
    <col min="5" max="5" width="35.6328125" customWidth="1"/>
    <col min="6" max="6" width="25.90625" customWidth="1"/>
    <col min="7" max="7" width="28.08984375" customWidth="1"/>
    <col min="8" max="8" width="17.1796875" customWidth="1"/>
  </cols>
  <sheetData>
    <row r="1" spans="1:19" s="15" customFormat="1">
      <c r="A1" s="14" t="s">
        <v>24</v>
      </c>
      <c r="B1" s="14" t="s">
        <v>57</v>
      </c>
      <c r="C1" s="14" t="s">
        <v>58</v>
      </c>
      <c r="D1" s="14" t="s">
        <v>59</v>
      </c>
      <c r="E1" s="14" t="s">
        <v>60</v>
      </c>
      <c r="F1" s="14" t="s">
        <v>61</v>
      </c>
      <c r="G1" s="14" t="s">
        <v>62</v>
      </c>
      <c r="H1" s="14" t="s">
        <v>63</v>
      </c>
      <c r="I1" s="14" t="s">
        <v>64</v>
      </c>
      <c r="J1" s="14" t="s">
        <v>65</v>
      </c>
      <c r="K1" s="14" t="s">
        <v>0</v>
      </c>
      <c r="L1" s="14"/>
      <c r="M1" s="14"/>
    </row>
    <row r="2" spans="1:19" s="10" customFormat="1">
      <c r="A2" t="s">
        <v>2</v>
      </c>
      <c r="B2">
        <v>17893.060000000001</v>
      </c>
      <c r="C2" s="16">
        <v>21070.597315471899</v>
      </c>
      <c r="D2">
        <v>8390.33</v>
      </c>
      <c r="E2">
        <v>12947.98</v>
      </c>
      <c r="F2">
        <f>D2+E2</f>
        <v>21338.309999999998</v>
      </c>
      <c r="G2">
        <v>17625.347315471903</v>
      </c>
      <c r="H2">
        <f>Assumptions!B2</f>
        <v>69</v>
      </c>
      <c r="I2">
        <f>G2+H2</f>
        <v>17694.347315471903</v>
      </c>
      <c r="J2" t="s">
        <v>66</v>
      </c>
      <c r="K2" t="s">
        <v>67</v>
      </c>
      <c r="L2"/>
      <c r="M2"/>
      <c r="N2"/>
      <c r="O2"/>
      <c r="P2"/>
      <c r="Q2"/>
      <c r="R2"/>
      <c r="S2"/>
    </row>
    <row r="3" spans="1:19" s="10" customFormat="1">
      <c r="A3" t="s">
        <v>9</v>
      </c>
      <c r="B3">
        <v>17893.060000000001</v>
      </c>
      <c r="C3" s="16">
        <v>9204.6856284927853</v>
      </c>
      <c r="D3">
        <v>21302.73</v>
      </c>
      <c r="E3">
        <v>12947.98</v>
      </c>
      <c r="F3">
        <f t="shared" ref="F3:F14" si="0">D3+E3</f>
        <v>34250.71</v>
      </c>
      <c r="G3">
        <v>-7152.9643715072125</v>
      </c>
      <c r="H3">
        <f>I2</f>
        <v>17694.347315471903</v>
      </c>
      <c r="I3">
        <f t="shared" ref="I3:I14" si="1">G3+H3</f>
        <v>10541.382943964691</v>
      </c>
      <c r="J3" t="s">
        <v>68</v>
      </c>
      <c r="K3" t="s">
        <v>69</v>
      </c>
      <c r="L3"/>
      <c r="M3"/>
      <c r="N3"/>
      <c r="O3"/>
      <c r="P3"/>
      <c r="Q3"/>
      <c r="R3"/>
      <c r="S3"/>
    </row>
    <row r="4" spans="1:19" s="5" customFormat="1">
      <c r="A4" t="s">
        <v>15</v>
      </c>
      <c r="B4">
        <v>17893.060000000001</v>
      </c>
      <c r="C4" s="16">
        <v>19204.685628492785</v>
      </c>
      <c r="D4">
        <v>24635.85</v>
      </c>
      <c r="E4">
        <v>12947.98</v>
      </c>
      <c r="F4">
        <f t="shared" si="0"/>
        <v>37583.83</v>
      </c>
      <c r="G4">
        <v>-486.08437150721147</v>
      </c>
      <c r="H4">
        <f t="shared" ref="H4:H14" si="2">I3</f>
        <v>10541.382943964691</v>
      </c>
      <c r="I4">
        <f t="shared" si="1"/>
        <v>10055.298572457479</v>
      </c>
      <c r="J4" t="s">
        <v>68</v>
      </c>
      <c r="K4" t="s">
        <v>70</v>
      </c>
      <c r="L4"/>
      <c r="M4"/>
      <c r="N4"/>
      <c r="O4"/>
      <c r="P4"/>
      <c r="Q4"/>
      <c r="R4"/>
      <c r="S4"/>
    </row>
    <row r="5" spans="1:19">
      <c r="A5" t="s">
        <v>25</v>
      </c>
      <c r="B5">
        <v>17893.060000000001</v>
      </c>
      <c r="C5" s="16">
        <v>6903.514221369589</v>
      </c>
      <c r="D5">
        <v>17992.189999999999</v>
      </c>
      <c r="E5">
        <v>12947.98</v>
      </c>
      <c r="F5">
        <f t="shared" si="0"/>
        <v>30940.17</v>
      </c>
      <c r="G5">
        <v>-6143.5957786304061</v>
      </c>
      <c r="H5">
        <f t="shared" si="2"/>
        <v>10055.298572457479</v>
      </c>
      <c r="I5">
        <f t="shared" si="1"/>
        <v>3911.702793827073</v>
      </c>
      <c r="J5" t="s">
        <v>68</v>
      </c>
      <c r="K5" t="s">
        <v>71</v>
      </c>
    </row>
    <row r="6" spans="1:19">
      <c r="A6" t="s">
        <v>26</v>
      </c>
      <c r="B6">
        <v>17893.060000000001</v>
      </c>
      <c r="C6" s="16">
        <v>0</v>
      </c>
      <c r="D6">
        <v>16577.989999999998</v>
      </c>
      <c r="E6">
        <v>12947.98</v>
      </c>
      <c r="F6">
        <f t="shared" si="0"/>
        <v>29525.969999999998</v>
      </c>
      <c r="G6">
        <v>-11632.909999999996</v>
      </c>
      <c r="H6">
        <f t="shared" si="2"/>
        <v>3911.702793827073</v>
      </c>
      <c r="I6">
        <f t="shared" si="1"/>
        <v>-7721.2072061729232</v>
      </c>
      <c r="J6" t="s">
        <v>72</v>
      </c>
      <c r="K6" t="s">
        <v>73</v>
      </c>
    </row>
    <row r="7" spans="1:19">
      <c r="A7" t="s">
        <v>17</v>
      </c>
      <c r="B7">
        <v>17893.060000000001</v>
      </c>
      <c r="C7" s="16">
        <v>5000</v>
      </c>
      <c r="D7">
        <v>13411.82</v>
      </c>
      <c r="E7">
        <v>12947.98</v>
      </c>
      <c r="F7">
        <f t="shared" si="0"/>
        <v>26359.8</v>
      </c>
      <c r="G7">
        <v>-3466.739999999998</v>
      </c>
      <c r="H7">
        <f t="shared" si="2"/>
        <v>-7721.2072061729232</v>
      </c>
      <c r="I7">
        <f t="shared" si="1"/>
        <v>-11187.947206172921</v>
      </c>
      <c r="J7" t="s">
        <v>72</v>
      </c>
      <c r="K7" t="s">
        <v>74</v>
      </c>
    </row>
    <row r="8" spans="1:19">
      <c r="A8" t="s">
        <v>7</v>
      </c>
      <c r="B8">
        <v>17893.060000000001</v>
      </c>
      <c r="C8" s="16">
        <v>0</v>
      </c>
      <c r="D8">
        <v>813.37</v>
      </c>
      <c r="E8">
        <v>12947.98</v>
      </c>
      <c r="F8">
        <f t="shared" si="0"/>
        <v>13761.35</v>
      </c>
      <c r="G8">
        <v>4131.7100000000009</v>
      </c>
      <c r="H8">
        <f t="shared" si="2"/>
        <v>-11187.947206172921</v>
      </c>
      <c r="I8">
        <f t="shared" si="1"/>
        <v>-7056.2372061729202</v>
      </c>
      <c r="J8" t="s">
        <v>72</v>
      </c>
      <c r="K8" t="s">
        <v>75</v>
      </c>
    </row>
    <row r="9" spans="1:19">
      <c r="A9" t="s">
        <v>10</v>
      </c>
      <c r="B9">
        <v>19366.996666666666</v>
      </c>
      <c r="C9" s="16">
        <v>27000</v>
      </c>
      <c r="D9">
        <v>9287.07</v>
      </c>
      <c r="E9">
        <v>12947.98</v>
      </c>
      <c r="F9">
        <f t="shared" si="0"/>
        <v>22235.05</v>
      </c>
      <c r="G9">
        <v>24131.946666666667</v>
      </c>
      <c r="H9">
        <f t="shared" si="2"/>
        <v>-7056.2372061729202</v>
      </c>
      <c r="I9">
        <f t="shared" si="1"/>
        <v>17075.709460493745</v>
      </c>
      <c r="J9" t="s">
        <v>66</v>
      </c>
      <c r="K9" t="s">
        <v>76</v>
      </c>
    </row>
    <row r="10" spans="1:19">
      <c r="A10" t="s">
        <v>27</v>
      </c>
      <c r="B10">
        <v>19366.996666666666</v>
      </c>
      <c r="C10" s="16">
        <v>0</v>
      </c>
      <c r="D10">
        <v>8947.5499999999993</v>
      </c>
      <c r="E10">
        <v>12947.98</v>
      </c>
      <c r="F10">
        <f t="shared" si="0"/>
        <v>21895.53</v>
      </c>
      <c r="G10">
        <v>-2528.5333333333328</v>
      </c>
      <c r="H10">
        <f t="shared" si="2"/>
        <v>17075.709460493745</v>
      </c>
      <c r="I10">
        <f t="shared" si="1"/>
        <v>14547.176127160412</v>
      </c>
      <c r="J10" t="s">
        <v>68</v>
      </c>
      <c r="K10" t="s">
        <v>77</v>
      </c>
    </row>
    <row r="11" spans="1:19">
      <c r="A11" t="s">
        <v>28</v>
      </c>
      <c r="B11">
        <v>19366.996666666666</v>
      </c>
      <c r="C11" s="16">
        <v>0</v>
      </c>
      <c r="D11">
        <v>8206.41</v>
      </c>
      <c r="E11">
        <v>12947.98</v>
      </c>
      <c r="F11">
        <f t="shared" si="0"/>
        <v>21154.39</v>
      </c>
      <c r="G11">
        <v>-1787.3933333333334</v>
      </c>
      <c r="H11">
        <f t="shared" si="2"/>
        <v>14547.176127160412</v>
      </c>
      <c r="I11">
        <f t="shared" si="1"/>
        <v>12759.782793827078</v>
      </c>
      <c r="J11" t="s">
        <v>68</v>
      </c>
      <c r="K11" t="s">
        <v>78</v>
      </c>
    </row>
    <row r="12" spans="1:19">
      <c r="A12" t="s">
        <v>29</v>
      </c>
      <c r="B12">
        <v>19366.996666666666</v>
      </c>
      <c r="C12" s="16">
        <v>0</v>
      </c>
      <c r="D12">
        <v>6865.38</v>
      </c>
      <c r="E12">
        <v>12947.98</v>
      </c>
      <c r="F12">
        <f t="shared" si="0"/>
        <v>19813.36</v>
      </c>
      <c r="G12">
        <v>-446.36333333333459</v>
      </c>
      <c r="H12">
        <f t="shared" si="2"/>
        <v>12759.782793827078</v>
      </c>
      <c r="I12">
        <f t="shared" si="1"/>
        <v>12313.419460493744</v>
      </c>
      <c r="J12" t="s">
        <v>68</v>
      </c>
      <c r="K12" t="s">
        <v>78</v>
      </c>
    </row>
    <row r="13" spans="1:19">
      <c r="A13" t="s">
        <v>30</v>
      </c>
      <c r="B13">
        <v>19366.996666666666</v>
      </c>
      <c r="C13" s="16">
        <v>0</v>
      </c>
      <c r="D13">
        <v>6459.98</v>
      </c>
      <c r="E13">
        <v>12947.98</v>
      </c>
      <c r="F13">
        <f t="shared" si="0"/>
        <v>19407.96</v>
      </c>
      <c r="G13">
        <v>-40.963333333333139</v>
      </c>
      <c r="H13">
        <f t="shared" si="2"/>
        <v>12313.419460493744</v>
      </c>
      <c r="I13">
        <f t="shared" si="1"/>
        <v>12272.456127160411</v>
      </c>
      <c r="J13" t="s">
        <v>68</v>
      </c>
      <c r="K13" t="s">
        <v>78</v>
      </c>
    </row>
    <row r="14" spans="1:19">
      <c r="A14" t="s">
        <v>31</v>
      </c>
      <c r="B14">
        <v>19366.996666666666</v>
      </c>
      <c r="C14" s="16">
        <v>0</v>
      </c>
      <c r="D14">
        <v>0</v>
      </c>
      <c r="E14">
        <v>12947.98</v>
      </c>
      <c r="F14">
        <f t="shared" si="0"/>
        <v>12947.98</v>
      </c>
      <c r="G14">
        <v>6419.0166666666664</v>
      </c>
      <c r="H14">
        <f t="shared" si="2"/>
        <v>12272.456127160411</v>
      </c>
      <c r="I14">
        <f t="shared" si="1"/>
        <v>18691.472793827077</v>
      </c>
      <c r="J14" t="s">
        <v>66</v>
      </c>
      <c r="K14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702B-7425-4C7C-A6D8-13E44A717410}">
  <dimension ref="A1:N14"/>
  <sheetViews>
    <sheetView tabSelected="1" topLeftCell="B1" zoomScale="55" zoomScaleNormal="55" workbookViewId="0">
      <selection activeCell="N14" sqref="N14"/>
    </sheetView>
  </sheetViews>
  <sheetFormatPr defaultRowHeight="14.5"/>
  <cols>
    <col min="1" max="1" width="28.36328125" bestFit="1" customWidth="1"/>
    <col min="2" max="14" width="12.81640625" bestFit="1" customWidth="1"/>
  </cols>
  <sheetData>
    <row r="1" spans="1:14">
      <c r="A1" s="17" t="s">
        <v>79</v>
      </c>
      <c r="B1" s="17" t="s">
        <v>2</v>
      </c>
      <c r="C1" s="17" t="s">
        <v>9</v>
      </c>
      <c r="D1" s="17" t="s">
        <v>15</v>
      </c>
      <c r="E1" s="17" t="s">
        <v>25</v>
      </c>
      <c r="F1" s="17" t="s">
        <v>26</v>
      </c>
      <c r="G1" s="17" t="s">
        <v>17</v>
      </c>
      <c r="H1" s="17" t="s">
        <v>7</v>
      </c>
      <c r="I1" s="17" t="s">
        <v>10</v>
      </c>
      <c r="J1" s="17" t="s">
        <v>27</v>
      </c>
      <c r="K1" s="17" t="s">
        <v>28</v>
      </c>
      <c r="L1" s="17" t="s">
        <v>29</v>
      </c>
      <c r="M1" s="17" t="s">
        <v>30</v>
      </c>
      <c r="N1" s="17" t="s">
        <v>31</v>
      </c>
    </row>
    <row r="2" spans="1:14">
      <c r="A2" s="2" t="s">
        <v>80</v>
      </c>
      <c r="B2" s="3">
        <v>17893.060000000001</v>
      </c>
      <c r="C2" s="3">
        <v>17893.060000000001</v>
      </c>
      <c r="D2" s="3">
        <v>17893.060000000001</v>
      </c>
      <c r="E2" s="3">
        <v>17893.060000000001</v>
      </c>
      <c r="F2" s="3">
        <v>17893.060000000001</v>
      </c>
      <c r="G2" s="3">
        <v>17893.060000000001</v>
      </c>
      <c r="H2" s="3">
        <v>17893.060000000001</v>
      </c>
      <c r="I2" s="3">
        <v>19366.996666666666</v>
      </c>
      <c r="J2" s="3">
        <v>19366.996666666666</v>
      </c>
      <c r="K2" s="3">
        <v>19366.996666666666</v>
      </c>
      <c r="L2" s="3">
        <v>19366.996666666666</v>
      </c>
      <c r="M2" s="3">
        <v>19366.996666666666</v>
      </c>
      <c r="N2" s="3">
        <v>19366.996666666666</v>
      </c>
    </row>
    <row r="3" spans="1:14">
      <c r="A3" s="2" t="s">
        <v>11</v>
      </c>
      <c r="B3" s="3">
        <v>8189.120279855917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>
      <c r="A4" s="2" t="s">
        <v>19</v>
      </c>
      <c r="B4" s="3">
        <v>11505.857035615982</v>
      </c>
      <c r="C4" s="3">
        <v>9204.6856284927853</v>
      </c>
      <c r="D4" s="3">
        <v>9204.6856284927853</v>
      </c>
      <c r="E4" s="3">
        <v>6903.514221369589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2" t="s">
        <v>12</v>
      </c>
      <c r="B5" s="3">
        <v>1375.62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2" t="s">
        <v>14</v>
      </c>
      <c r="B6" s="3">
        <v>0</v>
      </c>
      <c r="C6" s="3">
        <v>0</v>
      </c>
      <c r="D6" s="3">
        <v>10000</v>
      </c>
      <c r="E6" s="3">
        <v>0</v>
      </c>
      <c r="F6" s="3">
        <v>0</v>
      </c>
      <c r="G6" s="3">
        <v>0</v>
      </c>
      <c r="H6" s="3">
        <v>0</v>
      </c>
      <c r="I6" s="3">
        <v>20000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2" t="s">
        <v>16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7000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2" t="s">
        <v>1</v>
      </c>
      <c r="B9" s="3">
        <v>0</v>
      </c>
      <c r="C9" s="3">
        <v>-9660.1299999999992</v>
      </c>
      <c r="D9" s="3">
        <v>-14960.13</v>
      </c>
      <c r="E9" s="3">
        <v>-10503.16</v>
      </c>
      <c r="F9" s="3">
        <v>-9252.4699999999993</v>
      </c>
      <c r="G9" s="3">
        <v>-6817.79</v>
      </c>
      <c r="H9" s="3">
        <v>0</v>
      </c>
      <c r="I9" s="3">
        <v>-5227.45</v>
      </c>
      <c r="J9" s="3">
        <v>-5227.45</v>
      </c>
      <c r="K9" s="3">
        <v>-5227.45</v>
      </c>
      <c r="L9" s="3">
        <v>-3930.42</v>
      </c>
      <c r="M9" s="3">
        <v>-3930.42</v>
      </c>
      <c r="N9" s="3">
        <v>0</v>
      </c>
    </row>
    <row r="10" spans="1:14">
      <c r="A10" s="2" t="s">
        <v>3</v>
      </c>
      <c r="B10" s="3">
        <v>0</v>
      </c>
      <c r="C10" s="3">
        <v>-6047.97</v>
      </c>
      <c r="D10" s="3">
        <v>-5982.08</v>
      </c>
      <c r="E10" s="3">
        <v>-5982.08</v>
      </c>
      <c r="F10" s="3">
        <v>-5834.65</v>
      </c>
      <c r="G10" s="3">
        <v>-5780.66</v>
      </c>
      <c r="H10" s="3">
        <v>0</v>
      </c>
      <c r="I10" s="3">
        <v>-3495.65</v>
      </c>
      <c r="J10" s="3">
        <v>-3156.13</v>
      </c>
      <c r="K10" s="3">
        <v>-2414.9899999999998</v>
      </c>
      <c r="L10" s="3">
        <v>-2414.9899999999998</v>
      </c>
      <c r="M10" s="3">
        <v>-2009.59</v>
      </c>
      <c r="N10" s="3">
        <v>0</v>
      </c>
    </row>
    <row r="11" spans="1:14">
      <c r="A11" s="2" t="s">
        <v>4</v>
      </c>
      <c r="B11" s="3">
        <v>-3136.83</v>
      </c>
      <c r="C11" s="3">
        <v>-2916.04</v>
      </c>
      <c r="D11" s="3">
        <v>-2569.41</v>
      </c>
      <c r="E11" s="3">
        <v>-519.97</v>
      </c>
      <c r="F11" s="3">
        <v>-519.97</v>
      </c>
      <c r="G11" s="3">
        <v>-519.97</v>
      </c>
      <c r="H11" s="3">
        <v>-519.97</v>
      </c>
      <c r="I11" s="3">
        <v>-519.97</v>
      </c>
      <c r="J11" s="3">
        <v>-519.97</v>
      </c>
      <c r="K11" s="3">
        <v>-519.97</v>
      </c>
      <c r="L11" s="3">
        <v>-519.97</v>
      </c>
      <c r="M11" s="3">
        <v>-519.97</v>
      </c>
      <c r="N11" s="3">
        <v>0</v>
      </c>
    </row>
    <row r="12" spans="1:14">
      <c r="A12" s="2" t="s">
        <v>6</v>
      </c>
      <c r="B12" s="3">
        <v>-5253.5</v>
      </c>
      <c r="C12" s="3">
        <v>-2678.59</v>
      </c>
      <c r="D12" s="3">
        <v>-1124.23</v>
      </c>
      <c r="E12" s="3">
        <v>-986.98</v>
      </c>
      <c r="F12" s="3">
        <v>-970.9</v>
      </c>
      <c r="G12" s="3">
        <v>-293.39999999999998</v>
      </c>
      <c r="H12" s="3">
        <v>-293.39999999999998</v>
      </c>
      <c r="I12" s="3">
        <v>-44</v>
      </c>
      <c r="J12" s="3">
        <v>-44</v>
      </c>
      <c r="K12" s="3">
        <v>-44</v>
      </c>
      <c r="L12" s="3">
        <v>0</v>
      </c>
      <c r="M12" s="3">
        <v>0</v>
      </c>
      <c r="N12" s="3">
        <v>0</v>
      </c>
    </row>
    <row r="13" spans="1:14">
      <c r="A13" s="2" t="s">
        <v>51</v>
      </c>
      <c r="B13" s="3">
        <v>-12947.98</v>
      </c>
      <c r="C13" s="3">
        <v>-12947.98</v>
      </c>
      <c r="D13" s="3">
        <v>-12947.98</v>
      </c>
      <c r="E13" s="3">
        <v>-12947.98</v>
      </c>
      <c r="F13" s="3">
        <v>-12947.98</v>
      </c>
      <c r="G13" s="3">
        <v>-12947.98</v>
      </c>
      <c r="H13" s="3">
        <v>-12947.98</v>
      </c>
      <c r="I13" s="3">
        <v>-12947.98</v>
      </c>
      <c r="J13" s="3">
        <v>-12947.98</v>
      </c>
      <c r="K13" s="3">
        <v>-12947.98</v>
      </c>
      <c r="L13" s="3">
        <v>-12947.98</v>
      </c>
      <c r="M13" s="3">
        <v>-12947.98</v>
      </c>
      <c r="N13" s="3">
        <v>-12947.98</v>
      </c>
    </row>
    <row r="14" spans="1:14">
      <c r="A14" s="2" t="s">
        <v>81</v>
      </c>
      <c r="B14" s="3">
        <f t="shared" ref="B14:N14" si="0">SUM(B2:B13)</f>
        <v>17625.347315471899</v>
      </c>
      <c r="C14" s="3">
        <f t="shared" si="0"/>
        <v>-7152.9643715072161</v>
      </c>
      <c r="D14" s="3">
        <f t="shared" si="0"/>
        <v>-486.08437150720601</v>
      </c>
      <c r="E14" s="3">
        <f t="shared" si="0"/>
        <v>-6143.5957786304079</v>
      </c>
      <c r="F14" s="3">
        <f t="shared" si="0"/>
        <v>-11632.909999999998</v>
      </c>
      <c r="G14" s="3">
        <f t="shared" si="0"/>
        <v>-3466.739999999998</v>
      </c>
      <c r="H14" s="3">
        <f t="shared" si="0"/>
        <v>4131.7099999999991</v>
      </c>
      <c r="I14" s="3">
        <f t="shared" si="0"/>
        <v>24131.946666666667</v>
      </c>
      <c r="J14" s="3">
        <f t="shared" si="0"/>
        <v>-2528.5333333333347</v>
      </c>
      <c r="K14" s="3">
        <f t="shared" si="0"/>
        <v>-1787.3933333333334</v>
      </c>
      <c r="L14" s="3">
        <f t="shared" si="0"/>
        <v>-446.36333333333278</v>
      </c>
      <c r="M14" s="3">
        <f t="shared" si="0"/>
        <v>-40.963333333333139</v>
      </c>
      <c r="N14" s="3">
        <f t="shared" si="0"/>
        <v>6419.0166666666664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1B9-03FB-4C30-92BD-DC9BCFBBC300}">
  <dimension ref="A1:G6"/>
  <sheetViews>
    <sheetView zoomScale="55" zoomScaleNormal="55" workbookViewId="0">
      <selection activeCell="C55" sqref="C55"/>
    </sheetView>
  </sheetViews>
  <sheetFormatPr defaultRowHeight="14.5"/>
  <cols>
    <col min="1" max="1" width="17.1796875" customWidth="1"/>
    <col min="2" max="2" width="22.36328125" customWidth="1"/>
    <col min="3" max="3" width="27" customWidth="1"/>
    <col min="4" max="4" width="25.6328125" customWidth="1"/>
    <col min="5" max="5" width="35.6328125" customWidth="1"/>
    <col min="6" max="6" width="14.81640625" customWidth="1"/>
    <col min="7" max="7" width="62.81640625" customWidth="1"/>
  </cols>
  <sheetData>
    <row r="1" spans="1:7" s="1" customFormat="1">
      <c r="A1" s="4" t="s">
        <v>33</v>
      </c>
    </row>
    <row r="2" spans="1:7">
      <c r="A2" s="6"/>
      <c r="B2" s="6"/>
      <c r="C2" s="6"/>
      <c r="D2" s="6"/>
      <c r="E2" s="6"/>
      <c r="F2" s="6"/>
    </row>
    <row r="3" spans="1:7" s="15" customFormat="1">
      <c r="A3" s="14" t="s">
        <v>8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/>
    </row>
    <row r="4" spans="1:7" s="10" customFormat="1">
      <c r="A4" s="7" t="s">
        <v>39</v>
      </c>
      <c r="B4" s="8" t="s">
        <v>25</v>
      </c>
      <c r="C4" s="8" t="s">
        <v>23</v>
      </c>
      <c r="D4" s="8" t="s">
        <v>5</v>
      </c>
      <c r="E4" s="8">
        <v>-11187.95</v>
      </c>
      <c r="F4" s="8" t="s">
        <v>17</v>
      </c>
      <c r="G4" s="9"/>
    </row>
    <row r="5" spans="1:7" s="10" customFormat="1">
      <c r="A5" s="11" t="s">
        <v>40</v>
      </c>
      <c r="B5" s="12" t="s">
        <v>9</v>
      </c>
      <c r="C5" s="12" t="s">
        <v>23</v>
      </c>
      <c r="D5" s="12" t="s">
        <v>23</v>
      </c>
      <c r="E5" s="12">
        <v>-23500</v>
      </c>
      <c r="F5" s="12" t="s">
        <v>7</v>
      </c>
      <c r="G5" s="13"/>
    </row>
    <row r="6" spans="1:7" s="5" customFormat="1">
      <c r="A6" s="7" t="s">
        <v>41</v>
      </c>
      <c r="B6" s="8" t="s">
        <v>7</v>
      </c>
      <c r="C6" s="8" t="s">
        <v>42</v>
      </c>
      <c r="D6" s="8" t="s">
        <v>5</v>
      </c>
      <c r="E6" s="8">
        <v>4200</v>
      </c>
      <c r="F6" s="8" t="s">
        <v>7</v>
      </c>
      <c r="G6" s="9"/>
    </row>
  </sheetData>
  <mergeCells count="1">
    <mergeCell ref="A2:F2"/>
  </mergeCells>
  <conditionalFormatting sqref="F4:F6">
    <cfRule type="dataBar" priority="3">
      <dataBar>
        <cfvo type="min"/>
        <cfvo type="max"/>
        <color rgb="FF4472C4"/>
      </dataBar>
    </cfRule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{8C9262D0-D922-448B-9938-E5DB49B621C8}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9262D0-D922-448B-9938-E5DB49B621C8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Assumptions</vt:lpstr>
      <vt:lpstr>Monthly forecast</vt:lpstr>
      <vt:lpstr>Detailed Cash Flow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2026-06-29T02:03:56Z</dcterms:created>
  <dcterms:modified xsi:type="dcterms:W3CDTF">2026-06-29T04:35:59Z</dcterms:modified>
</cp:coreProperties>
</file>