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965d8b70b7c10/Documentos/Documents/"/>
    </mc:Choice>
  </mc:AlternateContent>
  <xr:revisionPtr revIDLastSave="136" documentId="8_{BF23108F-A725-4897-AA6D-00DC556F2D71}" xr6:coauthVersionLast="47" xr6:coauthVersionMax="47" xr10:uidLastSave="{DA2651E1-E148-48DD-BD6B-DA2775100273}"/>
  <bookViews>
    <workbookView xWindow="11190" yWindow="0" windowWidth="11460" windowHeight="14410" firstSheet="3" activeTab="4" xr2:uid="{38A68108-0A27-4D04-BCE9-C65F80CD624E}"/>
  </bookViews>
  <sheets>
    <sheet name="Confirmed income" sheetId="1" r:id="rId1"/>
    <sheet name="English Lessons" sheetId="4" r:id="rId2"/>
    <sheet name="MBA Tutoring" sheetId="5" r:id="rId3"/>
    <sheet name="Bonuses" sheetId="7" r:id="rId4"/>
    <sheet name="Scenario input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4" i="8"/>
  <c r="E5" i="8"/>
  <c r="E4" i="8"/>
  <c r="C5" i="8"/>
  <c r="C6" i="8"/>
  <c r="C7" i="8"/>
  <c r="C8" i="8"/>
  <c r="C9" i="8"/>
  <c r="C10" i="8"/>
  <c r="C4" i="8"/>
  <c r="F4" i="7"/>
  <c r="F5" i="7"/>
  <c r="F6" i="7"/>
  <c r="F7" i="7"/>
  <c r="E4" i="5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tc={80281993-A08F-4299-AF85-B77EC049E80E}</author>
  </authors>
  <commentList>
    <comment ref="B3" authorId="0" shapeId="0" xr:uid="{80281993-A08F-4299-AF85-B77EC049E8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Weeks are planning inputs; advisor should test sensitivity.</t>
      </text>
    </comment>
  </commentList>
</comments>
</file>

<file path=xl/sharedStrings.xml><?xml version="1.0" encoding="utf-8"?>
<sst xmlns="http://schemas.openxmlformats.org/spreadsheetml/2006/main" count="146" uniqueCount="93">
  <si>
    <t>Notes</t>
  </si>
  <si>
    <t>Jul/2026</t>
  </si>
  <si>
    <t>High</t>
  </si>
  <si>
    <t>Medium</t>
  </si>
  <si>
    <t>Yes</t>
  </si>
  <si>
    <t>Jan/2027</t>
  </si>
  <si>
    <t>Scenario</t>
  </si>
  <si>
    <t>All monetary figures are in BRL unless a currency column says otherwise.</t>
  </si>
  <si>
    <t>Status</t>
  </si>
  <si>
    <t>Aug/2026</t>
  </si>
  <si>
    <t>Feb/2027</t>
  </si>
  <si>
    <t>Variable income assumptions</t>
  </si>
  <si>
    <t>Income Source</t>
  </si>
  <si>
    <t>Expected Month</t>
  </si>
  <si>
    <t>Amount</t>
  </si>
  <si>
    <t>Currency</t>
  </si>
  <si>
    <t>Exchange Rate</t>
  </si>
  <si>
    <t>BRL Estimate</t>
  </si>
  <si>
    <t>Confidence</t>
  </si>
  <si>
    <t>MBA Tutoring</t>
  </si>
  <si>
    <t>USD</t>
  </si>
  <si>
    <t>Worked, pending/expected payment</t>
  </si>
  <si>
    <t>Confirmed worked amount; do not assume recurring after July.</t>
  </si>
  <si>
    <t>Asset sale</t>
  </si>
  <si>
    <t>BRL</t>
  </si>
  <si>
    <t>Expected receipt</t>
  </si>
  <si>
    <t>One-time cash receipt.</t>
  </si>
  <si>
    <t>Performance bonus</t>
  </si>
  <si>
    <t>Sep/2026</t>
  </si>
  <si>
    <t>Expected</t>
  </si>
  <si>
    <t>One-time annual/semester bonus.</t>
  </si>
  <si>
    <t>Year-end salary bonus</t>
  </si>
  <si>
    <t>Dec/2026</t>
  </si>
  <si>
    <t>13th salary net estimate.</t>
  </si>
  <si>
    <t>Performance bonus minimum</t>
  </si>
  <si>
    <t>Minimum estimate for February bonus.</t>
  </si>
  <si>
    <t>Professional training honorarium</t>
  </si>
  <si>
    <t>Separate one-time honorarium.</t>
  </si>
  <si>
    <t>English Lessons</t>
  </si>
  <si>
    <t>Input</t>
  </si>
  <si>
    <t>Value</t>
  </si>
  <si>
    <t>Unit</t>
  </si>
  <si>
    <t>Formula / Basis</t>
  </si>
  <si>
    <t>Scenario Role</t>
  </si>
  <si>
    <t>Editable?</t>
  </si>
  <si>
    <t>Risk</t>
  </si>
  <si>
    <t>Hourly rate</t>
  </si>
  <si>
    <t>USD/hour</t>
  </si>
  <si>
    <t>Client planning rate</t>
  </si>
  <si>
    <t>Base case</t>
  </si>
  <si>
    <t>Modeled as tutoring/lessons, not guaranteed employment.</t>
  </si>
  <si>
    <t>Weekly hours</t>
  </si>
  <si>
    <t>hours/week</t>
  </si>
  <si>
    <t>Minimum target</t>
  </si>
  <si>
    <t>Quality must be preserved; do not overcommit.</t>
  </si>
  <si>
    <t>Exchange rate</t>
  </si>
  <si>
    <t>BRL/USD</t>
  </si>
  <si>
    <t>Observed recent payment conversion</t>
  </si>
  <si>
    <t>FX</t>
  </si>
  <si>
    <t>Use as planning estimate only.</t>
  </si>
  <si>
    <t>Weekly BRL estimate</t>
  </si>
  <si>
    <t>BRL/week</t>
  </si>
  <si>
    <t>Calculated</t>
  </si>
  <si>
    <t>No</t>
  </si>
  <si>
    <t>Formula</t>
  </si>
  <si>
    <t>Used by cash-flow model.</t>
  </si>
  <si>
    <t>rate * hours * exchange rate</t>
  </si>
  <si>
    <t>Month</t>
  </si>
  <si>
    <t>Legacy Expectation</t>
  </si>
  <si>
    <t>Current Confirmed Amount</t>
  </si>
  <si>
    <t>Use in Base Case?</t>
  </si>
  <si>
    <t>Payment expected</t>
  </si>
  <si>
    <t>Only confirmed month.</t>
  </si>
  <si>
    <t>Potential continuation</t>
  </si>
  <si>
    <t>Paused; do not assume income.</t>
  </si>
  <si>
    <t>Paused; upside scenario only.</t>
  </si>
  <si>
    <t>Oct/2026</t>
  </si>
  <si>
    <t>Bonuses</t>
  </si>
  <si>
    <t>Income</t>
  </si>
  <si>
    <t>Probability</t>
  </si>
  <si>
    <t>Risk Adjustment</t>
  </si>
  <si>
    <t>Risk-Weighted Amount</t>
  </si>
  <si>
    <t>Expected but not guaranteed</t>
  </si>
  <si>
    <t>High confidence</t>
  </si>
  <si>
    <t>Minimum estimate, still validate</t>
  </si>
  <si>
    <t>Expected separately</t>
  </si>
  <si>
    <t>English Lesson Weeks - Base</t>
  </si>
  <si>
    <t>English Lesson Income - Base</t>
  </si>
  <si>
    <t>English Lesson Weeks - Downside</t>
  </si>
  <si>
    <t>English Lesson Income - Downside</t>
  </si>
  <si>
    <t>English Lesson Weeks - Upside</t>
  </si>
  <si>
    <t>English Lesson Income - Upside</t>
  </si>
  <si>
    <t>Nov/2026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</si>
</sst>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Segoe UI"/>
      <family val="2"/>
    </font>
    <font>
      <i/>
      <sz val="11"/>
      <color theme="2" tint="-0.249977111117893"/>
      <name val="Carlito"/>
    </font>
    <font>
      <sz val="11"/>
      <color theme="2" tint="-0.249977111117893"/>
      <name val="Aptos Narrow"/>
      <family val="2"/>
      <scheme val="minor"/>
    </font>
    <font>
      <b/>
      <sz val="11"/>
      <color theme="4" tint="-0.249977111117893"/>
      <name val="Carlito"/>
    </font>
    <font>
      <sz val="11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3" borderId="0" xfId="0" applyFont="1" applyFill="1"/>
    <xf numFmtId="0" fontId="7" fillId="3" borderId="0" xfId="0" applyFont="1" applyFill="1"/>
    <xf numFmtId="0" fontId="2" fillId="2" borderId="1" xfId="0" applyFont="1" applyFill="1" applyBorder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wrapText="1"/>
    </xf>
    <xf numFmtId="44" fontId="0" fillId="0" borderId="0" xfId="2" applyFont="1"/>
    <xf numFmtId="44" fontId="0" fillId="0" borderId="0" xfId="2" applyFont="1" applyAlignment="1">
      <alignment wrapText="1"/>
    </xf>
    <xf numFmtId="166" fontId="0" fillId="0" borderId="0" xfId="1" applyNumberFormat="1" applyFont="1"/>
    <xf numFmtId="43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rea Carvalho" id="{CD20A7A8-0FE3-45E5-96C0-4245141EF8B8}" userId="4c0965d8b70b7c1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6-29T03:58:30.21" personId="{CD20A7A8-0FE3-45E5-96C0-4245141EF8B8}" id="{80281993-A08F-4299-AF85-B77EC049E80E}">
    <text>Weeks are planning inputs; advisor should test sensitivity.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FD40-FF99-4D79-9ABE-FFA8F19743DC}">
  <dimension ref="A1:I9"/>
  <sheetViews>
    <sheetView workbookViewId="0">
      <selection activeCell="G23" sqref="G23"/>
    </sheetView>
  </sheetViews>
  <sheetFormatPr defaultRowHeight="14.5"/>
  <cols>
    <col min="1" max="1" width="28.08984375" customWidth="1"/>
    <col min="2" max="2" width="8.90625" customWidth="1"/>
    <col min="3" max="3" width="12.7265625" customWidth="1"/>
    <col min="5" max="5" width="11.6328125" customWidth="1"/>
    <col min="6" max="6" width="14.81640625" customWidth="1"/>
    <col min="7" max="7" width="31.54296875" customWidth="1"/>
    <col min="8" max="8" width="15.54296875" customWidth="1"/>
  </cols>
  <sheetData>
    <row r="1" spans="1:9" s="1" customFormat="1">
      <c r="A1" s="7" t="s">
        <v>11</v>
      </c>
    </row>
    <row r="2" spans="1:9">
      <c r="A2" s="5" t="s">
        <v>7</v>
      </c>
      <c r="B2" s="6"/>
      <c r="C2" s="6"/>
      <c r="D2" s="6"/>
      <c r="E2" s="6"/>
      <c r="F2" s="6"/>
      <c r="G2" s="6"/>
    </row>
    <row r="3" spans="1:9" s="3" customFormat="1" ht="54.5" customHeight="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8</v>
      </c>
      <c r="H3" s="4" t="s">
        <v>18</v>
      </c>
      <c r="I3" s="3" t="s">
        <v>0</v>
      </c>
    </row>
    <row r="4" spans="1:9" ht="30" customHeight="1">
      <c r="A4" t="s">
        <v>19</v>
      </c>
      <c r="B4" t="s">
        <v>1</v>
      </c>
      <c r="C4">
        <v>1579.43</v>
      </c>
      <c r="D4" t="s">
        <v>20</v>
      </c>
      <c r="E4">
        <v>5.1848580056450215</v>
      </c>
      <c r="F4">
        <v>8189.120279855917</v>
      </c>
      <c r="G4" t="s">
        <v>21</v>
      </c>
      <c r="H4" t="s">
        <v>2</v>
      </c>
      <c r="I4" t="s">
        <v>22</v>
      </c>
    </row>
    <row r="5" spans="1:9" ht="30" customHeight="1">
      <c r="A5" t="s">
        <v>23</v>
      </c>
      <c r="B5" t="s">
        <v>1</v>
      </c>
      <c r="C5">
        <v>1375.62</v>
      </c>
      <c r="D5" t="s">
        <v>24</v>
      </c>
      <c r="E5">
        <v>1</v>
      </c>
      <c r="F5">
        <v>1375.62</v>
      </c>
      <c r="G5" t="s">
        <v>25</v>
      </c>
      <c r="H5" t="s">
        <v>2</v>
      </c>
      <c r="I5" t="s">
        <v>26</v>
      </c>
    </row>
    <row r="6" spans="1:9" ht="30" customHeight="1">
      <c r="A6" t="s">
        <v>27</v>
      </c>
      <c r="B6" t="s">
        <v>28</v>
      </c>
      <c r="C6">
        <v>10000</v>
      </c>
      <c r="D6" t="s">
        <v>24</v>
      </c>
      <c r="E6">
        <v>1</v>
      </c>
      <c r="F6">
        <v>10000</v>
      </c>
      <c r="G6" t="s">
        <v>29</v>
      </c>
      <c r="H6" t="s">
        <v>3</v>
      </c>
      <c r="I6" t="s">
        <v>30</v>
      </c>
    </row>
    <row r="7" spans="1:9" ht="30" customHeight="1">
      <c r="A7" t="s">
        <v>31</v>
      </c>
      <c r="B7" t="s">
        <v>32</v>
      </c>
      <c r="C7">
        <v>5000</v>
      </c>
      <c r="D7" t="s">
        <v>24</v>
      </c>
      <c r="E7">
        <v>1</v>
      </c>
      <c r="F7">
        <v>5000</v>
      </c>
      <c r="G7" t="s">
        <v>29</v>
      </c>
      <c r="H7" t="s">
        <v>3</v>
      </c>
      <c r="I7" t="s">
        <v>33</v>
      </c>
    </row>
    <row r="8" spans="1:9" ht="30" customHeight="1">
      <c r="A8" t="s">
        <v>34</v>
      </c>
      <c r="B8" t="s">
        <v>10</v>
      </c>
      <c r="C8">
        <v>20000</v>
      </c>
      <c r="D8" t="s">
        <v>24</v>
      </c>
      <c r="E8">
        <v>1</v>
      </c>
      <c r="F8">
        <v>20000</v>
      </c>
      <c r="G8" t="s">
        <v>29</v>
      </c>
      <c r="H8" t="s">
        <v>3</v>
      </c>
      <c r="I8" t="s">
        <v>35</v>
      </c>
    </row>
    <row r="9" spans="1:9" ht="30" customHeight="1">
      <c r="A9" t="s">
        <v>36</v>
      </c>
      <c r="B9" t="s">
        <v>10</v>
      </c>
      <c r="C9">
        <v>7000</v>
      </c>
      <c r="D9" t="s">
        <v>24</v>
      </c>
      <c r="E9">
        <v>1</v>
      </c>
      <c r="F9">
        <v>7000</v>
      </c>
      <c r="G9" t="s">
        <v>29</v>
      </c>
      <c r="H9" t="s">
        <v>3</v>
      </c>
      <c r="I9" t="s">
        <v>37</v>
      </c>
    </row>
  </sheetData>
  <mergeCells count="1"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5D2-E6F3-4EB3-A27D-0FE64F1B9799}">
  <dimension ref="A1:H9"/>
  <sheetViews>
    <sheetView workbookViewId="0">
      <selection activeCell="B8" sqref="B8"/>
    </sheetView>
  </sheetViews>
  <sheetFormatPr defaultRowHeight="14.5"/>
  <cols>
    <col min="1" max="1" width="19.81640625" customWidth="1"/>
    <col min="2" max="2" width="8.90625" customWidth="1"/>
    <col min="3" max="3" width="12.7265625" customWidth="1"/>
    <col min="4" max="4" width="25.6328125" customWidth="1"/>
    <col min="5" max="5" width="11.6328125" customWidth="1"/>
    <col min="6" max="6" width="14.81640625" customWidth="1"/>
    <col min="7" max="7" width="31.54296875" customWidth="1"/>
    <col min="8" max="8" width="15.54296875" customWidth="1"/>
  </cols>
  <sheetData>
    <row r="1" spans="1:8" s="1" customFormat="1">
      <c r="A1" s="7" t="s">
        <v>38</v>
      </c>
    </row>
    <row r="2" spans="1:8">
      <c r="A2" s="5"/>
      <c r="B2" s="6"/>
      <c r="C2" s="6"/>
      <c r="D2" s="6"/>
      <c r="E2" s="6"/>
      <c r="F2" s="6"/>
      <c r="G2" s="6"/>
    </row>
    <row r="3" spans="1:8" s="12" customFormat="1" ht="44" customHeight="1">
      <c r="A3" s="11" t="s">
        <v>39</v>
      </c>
      <c r="B3" s="11" t="s">
        <v>40</v>
      </c>
      <c r="C3" s="11" t="s">
        <v>41</v>
      </c>
      <c r="D3" s="11" t="s">
        <v>42</v>
      </c>
      <c r="E3" s="11" t="s">
        <v>43</v>
      </c>
      <c r="F3" s="11" t="s">
        <v>44</v>
      </c>
      <c r="G3" s="11" t="s">
        <v>45</v>
      </c>
      <c r="H3" s="11" t="s">
        <v>0</v>
      </c>
    </row>
    <row r="4" spans="1:8" ht="30" customHeight="1">
      <c r="A4" t="s">
        <v>46</v>
      </c>
      <c r="B4" s="8">
        <v>29</v>
      </c>
      <c r="C4" t="s">
        <v>47</v>
      </c>
      <c r="D4" t="s">
        <v>48</v>
      </c>
      <c r="E4" t="s">
        <v>49</v>
      </c>
      <c r="F4" t="s">
        <v>4</v>
      </c>
      <c r="G4" t="s">
        <v>3</v>
      </c>
      <c r="H4" t="s">
        <v>50</v>
      </c>
    </row>
    <row r="5" spans="1:8" ht="30" customHeight="1">
      <c r="A5" t="s">
        <v>51</v>
      </c>
      <c r="B5" s="8">
        <v>16</v>
      </c>
      <c r="C5" t="s">
        <v>52</v>
      </c>
      <c r="D5" t="s">
        <v>53</v>
      </c>
      <c r="E5" t="s">
        <v>49</v>
      </c>
      <c r="F5" t="s">
        <v>4</v>
      </c>
      <c r="G5" t="s">
        <v>3</v>
      </c>
      <c r="H5" t="s">
        <v>54</v>
      </c>
    </row>
    <row r="6" spans="1:8" s="2" customFormat="1" ht="30" customHeight="1">
      <c r="A6" s="2" t="s">
        <v>55</v>
      </c>
      <c r="B6" s="9">
        <v>4.9594211360413718</v>
      </c>
      <c r="C6" s="2" t="s">
        <v>56</v>
      </c>
      <c r="D6" s="2" t="s">
        <v>57</v>
      </c>
      <c r="E6" s="2" t="s">
        <v>49</v>
      </c>
      <c r="F6" s="2" t="s">
        <v>4</v>
      </c>
      <c r="G6" s="2" t="s">
        <v>58</v>
      </c>
      <c r="H6" s="2" t="s">
        <v>59</v>
      </c>
    </row>
    <row r="7" spans="1:8" ht="30" customHeight="1">
      <c r="A7" t="s">
        <v>60</v>
      </c>
      <c r="B7" s="10">
        <f>B4*B5*B6</f>
        <v>2301.1714071231963</v>
      </c>
      <c r="C7" t="s">
        <v>61</v>
      </c>
      <c r="D7" t="s">
        <v>66</v>
      </c>
      <c r="E7" t="s">
        <v>62</v>
      </c>
      <c r="F7" t="s">
        <v>63</v>
      </c>
      <c r="G7" t="s">
        <v>64</v>
      </c>
      <c r="H7" t="s">
        <v>65</v>
      </c>
    </row>
    <row r="8" spans="1:8" ht="30" customHeight="1"/>
    <row r="9" spans="1:8" ht="30" customHeight="1"/>
  </sheetData>
  <mergeCells count="1">
    <mergeCell ref="A2:G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CD8C-A6F9-447F-B48A-222D5F5A63A6}">
  <dimension ref="A1:H9"/>
  <sheetViews>
    <sheetView topLeftCell="D1" workbookViewId="0">
      <selection activeCell="G9" sqref="G9"/>
    </sheetView>
  </sheetViews>
  <sheetFormatPr defaultRowHeight="14.5"/>
  <cols>
    <col min="1" max="1" width="14.6328125" customWidth="1"/>
    <col min="2" max="2" width="21" customWidth="1"/>
    <col min="3" max="3" width="14.90625" customWidth="1"/>
    <col min="4" max="4" width="25.6328125" customWidth="1"/>
    <col min="5" max="5" width="11.6328125" customWidth="1"/>
    <col min="6" max="6" width="14.81640625" customWidth="1"/>
    <col min="7" max="7" width="31.54296875" customWidth="1"/>
    <col min="8" max="8" width="15.54296875" customWidth="1"/>
  </cols>
  <sheetData>
    <row r="1" spans="1:8" s="1" customFormat="1">
      <c r="A1" s="7" t="s">
        <v>19</v>
      </c>
    </row>
    <row r="2" spans="1:8">
      <c r="A2" s="5"/>
      <c r="B2" s="6"/>
      <c r="C2" s="6"/>
      <c r="D2" s="6"/>
      <c r="E2" s="6"/>
      <c r="F2" s="6"/>
      <c r="G2" s="6"/>
    </row>
    <row r="3" spans="1:8" s="12" customFormat="1" ht="42">
      <c r="A3" s="11" t="s">
        <v>67</v>
      </c>
      <c r="B3" s="11" t="s">
        <v>68</v>
      </c>
      <c r="C3" s="11" t="s">
        <v>69</v>
      </c>
      <c r="D3" s="11" t="s">
        <v>15</v>
      </c>
      <c r="E3" s="11" t="s">
        <v>17</v>
      </c>
      <c r="F3" s="11" t="s">
        <v>70</v>
      </c>
      <c r="G3" s="11" t="s">
        <v>0</v>
      </c>
      <c r="H3" s="11"/>
    </row>
    <row r="4" spans="1:8" ht="30" customHeight="1">
      <c r="A4" t="s">
        <v>1</v>
      </c>
      <c r="B4" t="s">
        <v>71</v>
      </c>
      <c r="C4">
        <v>1579.43</v>
      </c>
      <c r="D4" t="s">
        <v>20</v>
      </c>
      <c r="E4">
        <f>C4*'Confirmed income'!E4</f>
        <v>8189.120279855917</v>
      </c>
      <c r="F4" t="s">
        <v>4</v>
      </c>
      <c r="G4" t="s">
        <v>72</v>
      </c>
    </row>
    <row r="5" spans="1:8" ht="30" customHeight="1">
      <c r="A5" t="s">
        <v>9</v>
      </c>
      <c r="B5" t="s">
        <v>73</v>
      </c>
      <c r="C5">
        <v>0</v>
      </c>
      <c r="D5" t="s">
        <v>20</v>
      </c>
      <c r="E5">
        <v>0</v>
      </c>
      <c r="F5" t="s">
        <v>63</v>
      </c>
      <c r="G5" t="s">
        <v>74</v>
      </c>
    </row>
    <row r="6" spans="1:8" s="2" customFormat="1" ht="30" customHeight="1">
      <c r="A6" s="2" t="s">
        <v>28</v>
      </c>
      <c r="B6" s="2" t="s">
        <v>73</v>
      </c>
      <c r="C6" s="2">
        <v>0</v>
      </c>
      <c r="D6" s="2" t="s">
        <v>20</v>
      </c>
      <c r="E6" s="2">
        <v>0</v>
      </c>
      <c r="F6" s="2" t="s">
        <v>63</v>
      </c>
      <c r="G6" s="2" t="s">
        <v>75</v>
      </c>
    </row>
    <row r="7" spans="1:8" ht="30" customHeight="1">
      <c r="A7" t="s">
        <v>76</v>
      </c>
      <c r="B7" t="s">
        <v>73</v>
      </c>
      <c r="C7">
        <v>0</v>
      </c>
      <c r="D7" t="s">
        <v>20</v>
      </c>
      <c r="E7">
        <v>0</v>
      </c>
      <c r="F7" t="s">
        <v>63</v>
      </c>
      <c r="G7" t="s">
        <v>75</v>
      </c>
    </row>
    <row r="8" spans="1:8" ht="30" customHeight="1"/>
    <row r="9" spans="1:8" ht="30" customHeight="1"/>
  </sheetData>
  <mergeCells count="1">
    <mergeCell ref="A2:G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6656-5922-4A65-A386-DEBC14904A40}">
  <dimension ref="A1:H9"/>
  <sheetViews>
    <sheetView workbookViewId="0">
      <selection activeCell="A13" sqref="A13"/>
    </sheetView>
  </sheetViews>
  <sheetFormatPr defaultRowHeight="14.5"/>
  <cols>
    <col min="1" max="1" width="28.08984375" customWidth="1"/>
    <col min="2" max="2" width="8.7265625" bestFit="1" customWidth="1"/>
    <col min="3" max="3" width="14.90625" customWidth="1"/>
    <col min="4" max="4" width="25.6328125" customWidth="1"/>
    <col min="5" max="5" width="27.7265625" customWidth="1"/>
    <col min="6" max="6" width="14.81640625" customWidth="1"/>
    <col min="7" max="7" width="31.54296875" customWidth="1"/>
    <col min="8" max="8" width="15.54296875" customWidth="1"/>
  </cols>
  <sheetData>
    <row r="1" spans="1:8" s="1" customFormat="1">
      <c r="A1" s="7" t="s">
        <v>77</v>
      </c>
    </row>
    <row r="2" spans="1:8">
      <c r="A2" s="5"/>
      <c r="B2" s="6"/>
      <c r="C2" s="6"/>
      <c r="D2" s="6"/>
      <c r="E2" s="6"/>
      <c r="F2" s="6"/>
      <c r="G2" s="6"/>
    </row>
    <row r="3" spans="1:8" s="12" customFormat="1" ht="28">
      <c r="A3" s="11" t="s">
        <v>78</v>
      </c>
      <c r="B3" s="11" t="s">
        <v>67</v>
      </c>
      <c r="C3" s="11" t="s">
        <v>14</v>
      </c>
      <c r="D3" s="11" t="s">
        <v>79</v>
      </c>
      <c r="E3" s="11" t="s">
        <v>80</v>
      </c>
      <c r="F3" s="11" t="s">
        <v>81</v>
      </c>
      <c r="G3" s="11"/>
      <c r="H3" s="11"/>
    </row>
    <row r="4" spans="1:8" ht="30" customHeight="1">
      <c r="A4" t="s">
        <v>27</v>
      </c>
      <c r="B4" t="s">
        <v>28</v>
      </c>
      <c r="C4" s="13">
        <v>10000</v>
      </c>
      <c r="D4">
        <v>0.85</v>
      </c>
      <c r="E4" t="s">
        <v>82</v>
      </c>
      <c r="F4" s="13">
        <f>D4*C4</f>
        <v>8500</v>
      </c>
    </row>
    <row r="5" spans="1:8">
      <c r="A5" t="s">
        <v>31</v>
      </c>
      <c r="B5" t="s">
        <v>32</v>
      </c>
      <c r="C5" s="13">
        <v>5000</v>
      </c>
      <c r="D5">
        <v>0.95</v>
      </c>
      <c r="E5" t="s">
        <v>83</v>
      </c>
      <c r="F5" s="13">
        <f t="shared" ref="F5:F7" si="0">D5*C5</f>
        <v>4750</v>
      </c>
    </row>
    <row r="6" spans="1:8" s="2" customFormat="1">
      <c r="A6" s="2" t="s">
        <v>34</v>
      </c>
      <c r="B6" s="2" t="s">
        <v>10</v>
      </c>
      <c r="C6" s="14">
        <v>20000</v>
      </c>
      <c r="D6" s="2">
        <v>0.8</v>
      </c>
      <c r="E6" s="2" t="s">
        <v>84</v>
      </c>
      <c r="F6" s="13">
        <f t="shared" si="0"/>
        <v>16000</v>
      </c>
    </row>
    <row r="7" spans="1:8">
      <c r="A7" t="s">
        <v>36</v>
      </c>
      <c r="B7" t="s">
        <v>10</v>
      </c>
      <c r="C7" s="13">
        <v>7000</v>
      </c>
      <c r="D7">
        <v>0.8</v>
      </c>
      <c r="E7" t="s">
        <v>85</v>
      </c>
      <c r="F7" s="13">
        <f t="shared" si="0"/>
        <v>5600</v>
      </c>
    </row>
    <row r="8" spans="1:8" ht="30" customHeight="1"/>
    <row r="9" spans="1:8" ht="30" customHeight="1"/>
  </sheetData>
  <mergeCells count="1">
    <mergeCell ref="A2:G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71B9-03FB-4C30-92BD-DC9BCFBBC300}">
  <dimension ref="A1:G11"/>
  <sheetViews>
    <sheetView tabSelected="1" workbookViewId="0">
      <selection activeCell="B21" sqref="B21"/>
    </sheetView>
  </sheetViews>
  <sheetFormatPr defaultRowHeight="14.5"/>
  <cols>
    <col min="1" max="1" width="17.1796875" customWidth="1"/>
    <col min="2" max="2" width="17.54296875" customWidth="1"/>
    <col min="3" max="3" width="14.90625" customWidth="1"/>
    <col min="4" max="4" width="25.6328125" customWidth="1"/>
    <col min="5" max="5" width="27.7265625" customWidth="1"/>
    <col min="6" max="6" width="14.81640625" customWidth="1"/>
    <col min="7" max="7" width="31.54296875" customWidth="1"/>
  </cols>
  <sheetData>
    <row r="1" spans="1:7" s="1" customFormat="1">
      <c r="A1" s="7" t="s">
        <v>6</v>
      </c>
    </row>
    <row r="2" spans="1:7">
      <c r="A2" s="5"/>
      <c r="B2" s="6"/>
      <c r="C2" s="6"/>
      <c r="D2" s="6"/>
      <c r="E2" s="6"/>
      <c r="F2" s="6"/>
      <c r="G2" s="6"/>
    </row>
    <row r="3" spans="1:7" s="12" customFormat="1" ht="42">
      <c r="A3" s="11" t="s">
        <v>67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  <c r="G3" s="11" t="s">
        <v>91</v>
      </c>
    </row>
    <row r="4" spans="1:7">
      <c r="A4" t="s">
        <v>1</v>
      </c>
      <c r="B4">
        <v>5</v>
      </c>
      <c r="C4" s="13">
        <f>B4*'English Lessons'!$B$7</f>
        <v>11505.857035615982</v>
      </c>
      <c r="D4">
        <v>5</v>
      </c>
      <c r="E4">
        <f>D4*'English Lessons'!$B$7</f>
        <v>11505.857035615982</v>
      </c>
      <c r="F4" s="15">
        <v>5</v>
      </c>
      <c r="G4" s="16">
        <f>F4*'English Lessons'!$B$7</f>
        <v>11505.857035615982</v>
      </c>
    </row>
    <row r="5" spans="1:7">
      <c r="A5" t="s">
        <v>9</v>
      </c>
      <c r="B5">
        <v>4</v>
      </c>
      <c r="C5" s="13">
        <f>B5*'English Lessons'!$B$7</f>
        <v>9204.6856284927853</v>
      </c>
      <c r="D5">
        <v>4</v>
      </c>
      <c r="E5">
        <f>D5*'English Lessons'!$B$7</f>
        <v>9204.6856284927853</v>
      </c>
      <c r="F5" s="15">
        <v>4</v>
      </c>
      <c r="G5" s="16">
        <f>F5*'English Lessons'!$B$7</f>
        <v>9204.6856284927853</v>
      </c>
    </row>
    <row r="6" spans="1:7" s="2" customFormat="1">
      <c r="A6" s="2" t="s">
        <v>28</v>
      </c>
      <c r="B6" s="2">
        <v>4</v>
      </c>
      <c r="C6" s="13">
        <f>B6*'English Lessons'!$B$7</f>
        <v>9204.6856284927853</v>
      </c>
      <c r="D6" s="2">
        <v>0</v>
      </c>
      <c r="E6" s="2">
        <v>0</v>
      </c>
      <c r="F6" s="15">
        <v>4</v>
      </c>
      <c r="G6" s="16">
        <f>F6*'English Lessons'!$B$7</f>
        <v>9204.6856284927853</v>
      </c>
    </row>
    <row r="7" spans="1:7">
      <c r="A7" t="s">
        <v>76</v>
      </c>
      <c r="B7">
        <v>3</v>
      </c>
      <c r="C7" s="13">
        <f>B7*'English Lessons'!$B$7</f>
        <v>6903.514221369589</v>
      </c>
      <c r="D7">
        <v>0</v>
      </c>
      <c r="E7">
        <v>0</v>
      </c>
      <c r="F7" s="15">
        <v>4</v>
      </c>
      <c r="G7" s="16">
        <f>F7*'English Lessons'!$B$7</f>
        <v>9204.6856284927853</v>
      </c>
    </row>
    <row r="8" spans="1:7" ht="30" customHeight="1">
      <c r="A8" t="s">
        <v>92</v>
      </c>
      <c r="B8">
        <v>0</v>
      </c>
      <c r="C8" s="13">
        <f>B8*'English Lessons'!$B$7</f>
        <v>0</v>
      </c>
      <c r="D8">
        <v>0</v>
      </c>
      <c r="E8">
        <v>0</v>
      </c>
      <c r="F8" s="15">
        <v>4</v>
      </c>
      <c r="G8" s="16">
        <f>F8*'English Lessons'!$B$7</f>
        <v>9204.6856284927853</v>
      </c>
    </row>
    <row r="9" spans="1:7" ht="30" customHeight="1">
      <c r="A9" t="s">
        <v>32</v>
      </c>
      <c r="B9">
        <v>0</v>
      </c>
      <c r="C9" s="13">
        <f>B9*'English Lessons'!$B$7</f>
        <v>0</v>
      </c>
      <c r="D9">
        <v>0</v>
      </c>
      <c r="E9">
        <v>0</v>
      </c>
      <c r="F9" s="15">
        <v>4</v>
      </c>
      <c r="G9" s="16">
        <f>F9*'English Lessons'!$B$7</f>
        <v>9204.6856284927853</v>
      </c>
    </row>
    <row r="10" spans="1:7">
      <c r="A10" t="s">
        <v>5</v>
      </c>
      <c r="B10">
        <v>0</v>
      </c>
      <c r="C10" s="13">
        <f>B10*'English Lessons'!$B$7</f>
        <v>0</v>
      </c>
      <c r="D10">
        <v>0</v>
      </c>
      <c r="E10">
        <v>0</v>
      </c>
      <c r="F10" s="15">
        <v>4</v>
      </c>
      <c r="G10" s="16">
        <f>F10*'English Lessons'!$B$7</f>
        <v>9204.6856284927853</v>
      </c>
    </row>
    <row r="11" spans="1:7">
      <c r="F11" s="15"/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Confirmed income</vt:lpstr>
      <vt:lpstr>English Lessons</vt:lpstr>
      <vt:lpstr>MBA Tutoring</vt:lpstr>
      <vt:lpstr>Bonuses</vt:lpstr>
      <vt:lpstr>Scenario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2026-06-29T02:03:56Z</dcterms:created>
  <dcterms:modified xsi:type="dcterms:W3CDTF">2026-06-29T04:02:50Z</dcterms:modified>
</cp:coreProperties>
</file>