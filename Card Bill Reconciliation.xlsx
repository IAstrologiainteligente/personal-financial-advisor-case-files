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965d8b70b7c10/Documentos/Documents/"/>
    </mc:Choice>
  </mc:AlternateContent>
  <xr:revisionPtr revIDLastSave="0" documentId="8_{E81D45A6-4394-48B7-AB23-8B4283989031}" xr6:coauthVersionLast="47" xr6:coauthVersionMax="47" xr10:uidLastSave="{00000000-0000-0000-0000-000000000000}"/>
  <bookViews>
    <workbookView xWindow="11190" yWindow="0" windowWidth="11460" windowHeight="14410" xr2:uid="{38A68108-0A27-4D04-BCE9-C65F80CD624E}"/>
  </bookViews>
  <sheets>
    <sheet name="Original bills" sheetId="1" r:id="rId1"/>
    <sheet name="prepayment" sheetId="2" r:id="rId2"/>
    <sheet name="Due Date Chan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F6" i="3"/>
  <c r="F7" i="3"/>
  <c r="F4" i="3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tc={3762F35F-23E7-422F-9F2C-4D07CE7BE87C}</author>
  </authors>
  <commentList>
    <comment ref="E4" authorId="0" shapeId="0" xr:uid="{3762F35F-23E7-422F-9F2C-4D07CE7BE8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client-provided payment already made before this case file was prepared.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tc={55333CE2-AFC1-4200-967A-083AFE67D791}</author>
  </authors>
  <commentList>
    <comment ref="E4" authorId="0" shapeId="0" xr:uid="{55333CE2-AFC1-4200-967A-083AFE67D7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client-provided payment already made before this case file was prepared.</t>
      </text>
    </comment>
  </commentList>
</comments>
</file>

<file path=xl/sharedStrings.xml><?xml version="1.0" encoding="utf-8"?>
<sst xmlns="http://schemas.openxmlformats.org/spreadsheetml/2006/main" count="97" uniqueCount="57">
  <si>
    <t>Card bill reconciliation</t>
  </si>
  <si>
    <t>Card</t>
  </si>
  <si>
    <t>Original due month</t>
  </si>
  <si>
    <t>Original due date</t>
  </si>
  <si>
    <t>Original amoun</t>
  </si>
  <si>
    <t>Related Adjustment</t>
  </si>
  <si>
    <t>Confirmed?</t>
  </si>
  <si>
    <t>Source Priority</t>
  </si>
  <si>
    <t>Use in Forecast?</t>
  </si>
  <si>
    <t>Notes</t>
  </si>
  <si>
    <t>Bradesco</t>
  </si>
  <si>
    <t>Jul/2026</t>
  </si>
  <si>
    <t>2026-07-18</t>
  </si>
  <si>
    <t>R$ 5,300 prepayment and due-date shift</t>
  </si>
  <si>
    <t>Partially</t>
  </si>
  <si>
    <t>High</t>
  </si>
  <si>
    <t>No - adjusted</t>
  </si>
  <si>
    <t>Itaú Mastercard</t>
  </si>
  <si>
    <t>2026-07-XX</t>
  </si>
  <si>
    <t>Large-card July deferral</t>
  </si>
  <si>
    <t>Planning</t>
  </si>
  <si>
    <t>Medium</t>
  </si>
  <si>
    <t>Santander</t>
  </si>
  <si>
    <t>2026-07-19</t>
  </si>
  <si>
    <t>None</t>
  </si>
  <si>
    <t>Yes</t>
  </si>
  <si>
    <t>Family Card</t>
  </si>
  <si>
    <t>Jan/2027</t>
  </si>
  <si>
    <t>2027-01-18</t>
  </si>
  <si>
    <t>Possible January deferral</t>
  </si>
  <si>
    <t>Scenario</t>
  </si>
  <si>
    <t>Scenario only</t>
  </si>
  <si>
    <t>2027-01-XX</t>
  </si>
  <si>
    <t>All monetary figures are in BRL unless a currency column says otherwise.</t>
  </si>
  <si>
    <t>Jul/2026 original bill</t>
  </si>
  <si>
    <t>Paid</t>
  </si>
  <si>
    <t>Partial payment made before the due-date shift was modeled.</t>
  </si>
  <si>
    <t>Payment Date</t>
  </si>
  <si>
    <t>Payment Amount</t>
  </si>
  <si>
    <t>Applied To</t>
  </si>
  <si>
    <t>Formula Check</t>
  </si>
  <si>
    <t>Status</t>
  </si>
  <si>
    <t>Due changes</t>
  </si>
  <si>
    <t>Old Month</t>
  </si>
  <si>
    <t>New Month</t>
  </si>
  <si>
    <t>Original Amount</t>
  </si>
  <si>
    <t>Prepayment</t>
  </si>
  <si>
    <t>Adjusted New Amount</t>
  </si>
  <si>
    <t>Forecast Treatment</t>
  </si>
  <si>
    <t>Aug/2026</t>
  </si>
  <si>
    <t>Use adjusted amount in August</t>
  </si>
  <si>
    <t>Adjusted amount should equal original amount less prepayment.</t>
  </si>
  <si>
    <t>Use amount in August</t>
  </si>
  <si>
    <t>No prepayment listed in source notes.</t>
  </si>
  <si>
    <t>Feb/2027</t>
  </si>
  <si>
    <t>Use only in January deferral scenario.</t>
  </si>
  <si>
    <t>Prepayments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</si>
</sst>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Segoe UI"/>
      <family val="2"/>
    </font>
    <font>
      <i/>
      <sz val="11"/>
      <color theme="2" tint="-0.249977111117893"/>
      <name val="Carlito"/>
    </font>
    <font>
      <sz val="11"/>
      <color theme="2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3" borderId="0" xfId="0" applyFont="1" applyFill="1"/>
    <xf numFmtId="0" fontId="6" fillId="3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rea Carvalho" id="{CD20A7A8-0FE3-45E5-96C0-4245141EF8B8}" userId="4c0965d8b70b7c1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6-06-29T03:25:16.54" personId="{CD20A7A8-0FE3-45E5-96C0-4245141EF8B8}" id="{3762F35F-23E7-422F-9F2C-4D07CE7BE87C}">
    <text>Source: client-provided payment already made before this case file was prepared.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" dT="2026-06-29T03:25:16.54" personId="{CD20A7A8-0FE3-45E5-96C0-4245141EF8B8}" id="{55333CE2-AFC1-4200-967A-083AFE67D791}">
    <text>Source: client-provided payment already made before this case file was prepared.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FD40-FF99-4D79-9ABE-FFA8F19743DC}">
  <dimension ref="A1:H9"/>
  <sheetViews>
    <sheetView tabSelected="1" workbookViewId="0"/>
  </sheetViews>
  <sheetFormatPr defaultRowHeight="14.5"/>
  <cols>
    <col min="1" max="1" width="15" customWidth="1"/>
    <col min="2" max="2" width="8.90625" customWidth="1"/>
    <col min="3" max="3" width="12.7265625" customWidth="1"/>
    <col min="5" max="5" width="34.7265625" customWidth="1"/>
    <col min="6" max="6" width="12.6328125" customWidth="1"/>
    <col min="7" max="7" width="13.90625" customWidth="1"/>
    <col min="8" max="8" width="15.54296875" customWidth="1"/>
  </cols>
  <sheetData>
    <row r="1" spans="1:8" s="1" customFormat="1">
      <c r="A1" s="6" t="s">
        <v>0</v>
      </c>
    </row>
    <row r="2" spans="1:8">
      <c r="A2" s="4" t="s">
        <v>33</v>
      </c>
      <c r="B2" s="5"/>
      <c r="C2" s="5"/>
      <c r="D2" s="5"/>
      <c r="E2" s="5"/>
      <c r="F2" s="5"/>
      <c r="G2" s="5"/>
    </row>
    <row r="3" spans="1:8" s="2" customFormat="1" ht="54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30" customHeight="1">
      <c r="A4" t="s">
        <v>10</v>
      </c>
      <c r="B4" t="s">
        <v>11</v>
      </c>
      <c r="C4" t="s">
        <v>12</v>
      </c>
      <c r="D4">
        <v>14960.13</v>
      </c>
      <c r="E4" t="s">
        <v>13</v>
      </c>
      <c r="F4" t="s">
        <v>14</v>
      </c>
      <c r="G4" t="s">
        <v>15</v>
      </c>
      <c r="H4" t="s">
        <v>16</v>
      </c>
    </row>
    <row r="5" spans="1:8" ht="30" customHeight="1">
      <c r="A5" t="s">
        <v>17</v>
      </c>
      <c r="B5" t="s">
        <v>11</v>
      </c>
      <c r="C5" t="s">
        <v>18</v>
      </c>
      <c r="D5">
        <v>6047.97</v>
      </c>
      <c r="E5" t="s">
        <v>19</v>
      </c>
      <c r="F5" t="s">
        <v>20</v>
      </c>
      <c r="G5" t="s">
        <v>21</v>
      </c>
      <c r="H5" t="s">
        <v>16</v>
      </c>
    </row>
    <row r="6" spans="1:8" ht="30" customHeight="1">
      <c r="A6" t="s">
        <v>22</v>
      </c>
      <c r="B6" t="s">
        <v>11</v>
      </c>
      <c r="C6" t="s">
        <v>23</v>
      </c>
      <c r="D6">
        <v>3136.83</v>
      </c>
      <c r="E6" t="s">
        <v>24</v>
      </c>
      <c r="F6" t="s">
        <v>25</v>
      </c>
      <c r="G6" t="s">
        <v>15</v>
      </c>
      <c r="H6" t="s">
        <v>25</v>
      </c>
    </row>
    <row r="7" spans="1:8" ht="30" customHeight="1">
      <c r="A7" t="s">
        <v>26</v>
      </c>
      <c r="B7" t="s">
        <v>11</v>
      </c>
      <c r="C7" t="s">
        <v>18</v>
      </c>
      <c r="D7">
        <v>5253.5</v>
      </c>
      <c r="E7" t="s">
        <v>24</v>
      </c>
      <c r="F7" t="s">
        <v>25</v>
      </c>
      <c r="G7" t="s">
        <v>15</v>
      </c>
      <c r="H7" t="s">
        <v>25</v>
      </c>
    </row>
    <row r="8" spans="1:8" ht="30" customHeight="1">
      <c r="A8" t="s">
        <v>10</v>
      </c>
      <c r="B8" t="s">
        <v>27</v>
      </c>
      <c r="C8" t="s">
        <v>28</v>
      </c>
      <c r="D8">
        <v>5227.45</v>
      </c>
      <c r="E8" t="s">
        <v>29</v>
      </c>
      <c r="F8" t="s">
        <v>30</v>
      </c>
      <c r="G8" t="s">
        <v>21</v>
      </c>
      <c r="H8" t="s">
        <v>31</v>
      </c>
    </row>
    <row r="9" spans="1:8" ht="30" customHeight="1">
      <c r="A9" t="s">
        <v>17</v>
      </c>
      <c r="B9" t="s">
        <v>27</v>
      </c>
      <c r="C9" t="s">
        <v>32</v>
      </c>
      <c r="D9">
        <v>3495.65</v>
      </c>
      <c r="E9" t="s">
        <v>29</v>
      </c>
      <c r="F9" t="s">
        <v>30</v>
      </c>
      <c r="G9" t="s">
        <v>21</v>
      </c>
      <c r="H9" t="s">
        <v>31</v>
      </c>
    </row>
  </sheetData>
  <mergeCells count="1"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3378-6D51-49F1-9ED1-B43A98580D80}">
  <dimension ref="A1:I4"/>
  <sheetViews>
    <sheetView workbookViewId="0">
      <selection activeCell="D11" sqref="D11"/>
    </sheetView>
  </sheetViews>
  <sheetFormatPr defaultRowHeight="14.5"/>
  <cols>
    <col min="7" max="7" width="30.1796875" customWidth="1"/>
  </cols>
  <sheetData>
    <row r="1" spans="1:9" s="1" customFormat="1">
      <c r="A1" s="6" t="s">
        <v>56</v>
      </c>
    </row>
    <row r="3" spans="1:9" s="2" customFormat="1" ht="54.5" customHeight="1">
      <c r="A3" s="3" t="s">
        <v>1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9</v>
      </c>
      <c r="H3" s="3" t="s">
        <v>7</v>
      </c>
      <c r="I3" s="3" t="s">
        <v>8</v>
      </c>
    </row>
    <row r="4" spans="1:9" ht="30" customHeight="1">
      <c r="A4" t="s">
        <v>10</v>
      </c>
      <c r="B4" t="s">
        <v>11</v>
      </c>
      <c r="C4">
        <v>5300</v>
      </c>
      <c r="D4" t="s">
        <v>34</v>
      </c>
      <c r="E4">
        <f>'Original bills'!D4-prepayment!C4</f>
        <v>9660.1299999999992</v>
      </c>
      <c r="F4" t="s">
        <v>35</v>
      </c>
      <c r="G4" t="s">
        <v>36</v>
      </c>
      <c r="H4" t="s">
        <v>16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A87A-2231-4EE1-BD1B-46A9A6FBF31E}">
  <dimension ref="A1:I7"/>
  <sheetViews>
    <sheetView workbookViewId="0">
      <selection activeCell="D14" sqref="D14"/>
    </sheetView>
  </sheetViews>
  <sheetFormatPr defaultRowHeight="14.5"/>
  <cols>
    <col min="3" max="3" width="8.90625" customWidth="1"/>
    <col min="5" max="5" width="13.453125" customWidth="1"/>
    <col min="6" max="6" width="11.1796875" customWidth="1"/>
    <col min="7" max="7" width="11.90625" customWidth="1"/>
  </cols>
  <sheetData>
    <row r="1" spans="1:9" s="1" customFormat="1">
      <c r="A1" s="6" t="s">
        <v>42</v>
      </c>
    </row>
    <row r="3" spans="1:9" s="2" customFormat="1" ht="54.5" customHeight="1">
      <c r="A3" s="3" t="s">
        <v>1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9</v>
      </c>
      <c r="I3" s="3"/>
    </row>
    <row r="4" spans="1:9" ht="30" customHeight="1">
      <c r="A4" t="s">
        <v>10</v>
      </c>
      <c r="B4" t="s">
        <v>11</v>
      </c>
      <c r="C4" t="s">
        <v>49</v>
      </c>
      <c r="D4">
        <v>14960.13</v>
      </c>
      <c r="E4">
        <v>5300</v>
      </c>
      <c r="F4">
        <f>D4-E4</f>
        <v>9660.1299999999992</v>
      </c>
      <c r="G4" t="s">
        <v>50</v>
      </c>
      <c r="H4" t="s">
        <v>51</v>
      </c>
    </row>
    <row r="5" spans="1:9">
      <c r="A5" t="s">
        <v>17</v>
      </c>
      <c r="B5" t="s">
        <v>11</v>
      </c>
      <c r="C5" t="s">
        <v>49</v>
      </c>
      <c r="D5">
        <v>6047.97</v>
      </c>
      <c r="E5">
        <v>0</v>
      </c>
      <c r="F5">
        <f t="shared" ref="F5:F7" si="0">D5-E5</f>
        <v>6047.97</v>
      </c>
      <c r="G5" t="s">
        <v>52</v>
      </c>
      <c r="H5" t="s">
        <v>53</v>
      </c>
    </row>
    <row r="6" spans="1:9">
      <c r="A6" t="s">
        <v>10</v>
      </c>
      <c r="B6" t="s">
        <v>27</v>
      </c>
      <c r="C6" t="s">
        <v>54</v>
      </c>
      <c r="D6">
        <v>5227.45</v>
      </c>
      <c r="E6">
        <v>0</v>
      </c>
      <c r="F6">
        <f t="shared" si="0"/>
        <v>5227.45</v>
      </c>
      <c r="G6" t="s">
        <v>31</v>
      </c>
      <c r="H6" t="s">
        <v>55</v>
      </c>
    </row>
    <row r="7" spans="1:9">
      <c r="A7" t="s">
        <v>17</v>
      </c>
      <c r="B7" t="s">
        <v>27</v>
      </c>
      <c r="C7" t="s">
        <v>54</v>
      </c>
      <c r="D7">
        <v>3495.65</v>
      </c>
      <c r="E7">
        <v>0</v>
      </c>
      <c r="F7">
        <f t="shared" si="0"/>
        <v>3495.65</v>
      </c>
      <c r="G7" t="s">
        <v>31</v>
      </c>
      <c r="H7" t="s">
        <v>55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Original bills</vt:lpstr>
      <vt:lpstr>prepayment</vt:lpstr>
      <vt:lpstr>Due Date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2026-06-29T02:03:56Z</dcterms:created>
  <dcterms:modified xsi:type="dcterms:W3CDTF">2026-06-29T03:41:40Z</dcterms:modified>
</cp:coreProperties>
</file>