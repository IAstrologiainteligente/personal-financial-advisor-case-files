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0965d8b70b7c10/Documentos/Documents/"/>
    </mc:Choice>
  </mc:AlternateContent>
  <xr:revisionPtr revIDLastSave="56" documentId="8_{F1B9D45E-9B5F-4D9E-B74D-51C632F032E0}" xr6:coauthVersionLast="47" xr6:coauthVersionMax="47" xr10:uidLastSave="{21B591E4-93F6-4BF8-972E-BA0BDB8890B5}"/>
  <bookViews>
    <workbookView xWindow="-110" yWindow="-110" windowWidth="22780" windowHeight="14540" firstSheet="4" activeTab="4" xr2:uid="{38A68108-0A27-4D04-BCE9-C65F80CD624E}"/>
  </bookViews>
  <sheets>
    <sheet name="Mortgage " sheetId="12" r:id="rId1"/>
    <sheet name="Rental Income" sheetId="16" r:id="rId2"/>
    <sheet name="FGTS Abatement" sheetId="15" r:id="rId3"/>
    <sheet name="Move in scenario" sheetId="17" r:id="rId4"/>
    <sheet name="Assumption history" sheetId="18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7" l="1"/>
  <c r="E4" i="17"/>
  <c r="E2" i="17"/>
  <c r="C4" i="17"/>
  <c r="C3" i="17"/>
  <c r="B5" i="16"/>
  <c r="B6" i="16" s="1"/>
  <c r="B4" i="16"/>
  <c r="B4" i="15"/>
  <c r="B6" i="15" s="1"/>
  <c r="B7" i="15" s="1"/>
  <c r="C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tc={86D59E2B-0B45-4858-999B-57C775BBF99D}</author>
    <author>tc={A19D8FB2-39D9-4BD1-AD82-6DD61A7879BF}</author>
  </authors>
  <commentList>
    <comment ref="B3" authorId="0" shapeId="0" xr:uid="{86D59E2B-0B45-4858-999B-57C775BBF9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Formula basis: current cash mortgage payment plus current FGTS abatement.</t>
      </text>
    </comment>
    <comment ref="E8" authorId="1" shapeId="0" xr:uid="{A19D8FB2-39D9-4BD1-AD82-6DD61A7879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Month that mortgage will replace rent. Client provided.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tc={B998CB7A-D418-4CE3-8BF4-CFC0659318E6}</author>
  </authors>
  <commentList>
    <comment ref="A2" authorId="0" shapeId="0" xr:uid="{B998CB7A-D418-4CE3-8BF4-CFC0659318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 expects to live in the apartment by September 2027, stopping rental income but avoiding current rent expense.</t>
      </text>
    </comment>
  </commentList>
</comments>
</file>

<file path=xl/sharedStrings.xml><?xml version="1.0" encoding="utf-8"?>
<sst xmlns="http://schemas.openxmlformats.org/spreadsheetml/2006/main" count="112" uniqueCount="82">
  <si>
    <t>Notes</t>
  </si>
  <si>
    <t>Yes</t>
  </si>
  <si>
    <t>BRL</t>
  </si>
  <si>
    <t>Value</t>
  </si>
  <si>
    <t>Unit</t>
  </si>
  <si>
    <t>Assumption</t>
  </si>
  <si>
    <t>BRL/month</t>
  </si>
  <si>
    <t>Item</t>
  </si>
  <si>
    <t>Current Value</t>
  </si>
  <si>
    <t>Projected Feb 2027 Value</t>
  </si>
  <si>
    <t>Formula / Basis</t>
  </si>
  <si>
    <t>Timing</t>
  </si>
  <si>
    <t>Net salary</t>
  </si>
  <si>
    <t>Client-provided net payroll</t>
  </si>
  <si>
    <t>Monthly</t>
  </si>
  <si>
    <t>Base salary before housing effects.</t>
  </si>
  <si>
    <t>Mortgage gross installment</t>
  </si>
  <si>
    <t>Current cash payment + FGTS abatement</t>
  </si>
  <si>
    <t>May change with financing terms; modeled flat for this case.</t>
  </si>
  <si>
    <t>Current FGTS abatement</t>
  </si>
  <si>
    <t>Projected value calculated in FGTS Abatement sheet</t>
  </si>
  <si>
    <t>Through Jan / From Feb</t>
  </si>
  <si>
    <t>February value uses 13 deposits over 12 months.</t>
  </si>
  <si>
    <t>Cash paid on mortgage</t>
  </si>
  <si>
    <t>Gross installment less FGTS abatement</t>
  </si>
  <si>
    <t>Formula in projected column.</t>
  </si>
  <si>
    <t>Rental income received</t>
  </si>
  <si>
    <t>Client-provided rental contract</t>
  </si>
  <si>
    <t>Until Aug/2027</t>
  </si>
  <si>
    <t>Assumes no income tax cash payment in monthly model; annual tax should be reviewed separately.</t>
  </si>
  <si>
    <t>Current rent paid elsewhere</t>
  </si>
  <si>
    <t>Client-provided current housing rent</t>
  </si>
  <si>
    <t>Stops after move-in.</t>
  </si>
  <si>
    <t>Net housing effect</t>
  </si>
  <si>
    <t>Rental income less cash mortgage payment</t>
  </si>
  <si>
    <t>Included in effective income in cash-flow file.</t>
  </si>
  <si>
    <t>Input</t>
  </si>
  <si>
    <t>Formula</t>
  </si>
  <si>
    <t>Use in Model</t>
  </si>
  <si>
    <t>Status</t>
  </si>
  <si>
    <t>Monthly FGTS deposit</t>
  </si>
  <si>
    <t>Corrected</t>
  </si>
  <si>
    <t>Supersedes earlier higher estimate.</t>
  </si>
  <si>
    <t>Deposits accumulated by Feb/2027</t>
  </si>
  <si>
    <t>deposits</t>
  </si>
  <si>
    <t>Assumed</t>
  </si>
  <si>
    <t>Used to abate the next 12 installments.</t>
  </si>
  <si>
    <t>Total FGTS available for abatement</t>
  </si>
  <si>
    <t>Months covered</t>
  </si>
  <si>
    <t>months</t>
  </si>
  <si>
    <t>Monthly FGTS abatement from Feb/2027</t>
  </si>
  <si>
    <t>Projected cash mortgage payment</t>
  </si>
  <si>
    <t>Amount</t>
  </si>
  <si>
    <t>Frequency</t>
  </si>
  <si>
    <t>Included in Monthly Cash Flow?</t>
  </si>
  <si>
    <t>Tax Treatment Note</t>
  </si>
  <si>
    <t>Yes, until Aug/2027</t>
  </si>
  <si>
    <t>Review annually; monthly cash tax not modeled</t>
  </si>
  <si>
    <t>Cash mortgage payment through Jan/2027</t>
  </si>
  <si>
    <t>Not treated as rental income deduction in model</t>
  </si>
  <si>
    <t>Net rental/mortgage effect through Jan/2027</t>
  </si>
  <si>
    <t>Cash mortgage payment Feb-Aug/2027</t>
  </si>
  <si>
    <t>Net rental/mortgage effect Feb-Aug/2027</t>
  </si>
  <si>
    <t>Period</t>
  </si>
  <si>
    <t>Rental Income</t>
  </si>
  <si>
    <t>Mortgage Cash Payment</t>
  </si>
  <si>
    <t>Current Rent Paid Elsewhere</t>
  </si>
  <si>
    <t>Net Housing Effect</t>
  </si>
  <si>
    <t>Change vs Feb-Aug 2027</t>
  </si>
  <si>
    <t>Until Jan/2027</t>
  </si>
  <si>
    <t>Current state; rental income continues and current rent is still paid.</t>
  </si>
  <si>
    <t>Feb-Aug/2027</t>
  </si>
  <si>
    <t>Best structural cash-flow period before move-in.</t>
  </si>
  <si>
    <t>From Sep/2027</t>
  </si>
  <si>
    <t>Client moves into the apartment; rental income stops and current rent is avoided.</t>
  </si>
  <si>
    <t>Earlier Value</t>
  </si>
  <si>
    <t>Corrected Value</t>
  </si>
  <si>
    <t>Use Which?</t>
  </si>
  <si>
    <t>Reason</t>
  </si>
  <si>
    <t>Client corrected the amount after reviewing current payroll/FGTS.</t>
  </si>
  <si>
    <t>Effective monthly income</t>
  </si>
  <si>
    <t>R$ 18,000 was a rounded planning shortcut, not the detailed figure.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</si>
</sst>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;[Red]\(\R\$\ #,##0.00\);\-"/>
  </numFmts>
  <fonts count="3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b/>
      <sz val="11"/>
      <color theme="8" tint="-0.499984740745262"/>
      <name val="Carlito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1F4E78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4" borderId="0" xfId="0" applyFill="1"/>
    <xf numFmtId="164" fontId="2" fillId="6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rea\Downloads\Housing%20and%20Mortgage%20Assumptions.xlsx" TargetMode="External"/><Relationship Id="rId1" Type="http://schemas.openxmlformats.org/officeDocument/2006/relationships/externalLinkPath" Target="file:///C:\Users\aurea\Downloads\Housing%20and%20Mortgage%20Assump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rtgage Overview"/>
      <sheetName val="FGTS Abatement"/>
      <sheetName val="Rental Income"/>
      <sheetName val="Move In Scenario"/>
      <sheetName val="Assumption History"/>
    </sheetNames>
    <sheetDataSet>
      <sheetData sheetId="0"/>
      <sheetData sheetId="1">
        <row r="7">
          <cell r="B7">
            <v>28277.599999999999</v>
          </cell>
        </row>
      </sheetData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urea Carvalho" id="{CD20A7A8-0FE3-45E5-96C0-4245141EF8B8}" userId="4c0965d8b70b7c10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6-29T04:48:30.75" personId="{CD20A7A8-0FE3-45E5-96C0-4245141EF8B8}" id="{86D59E2B-0B45-4858-999B-57C775BBF99D}">
    <text>Formula basis: current cash mortgage payment plus current FGTS abatement.</text>
  </threadedComment>
  <threadedComment ref="E8" dT="2026-06-29T04:54:39.47" personId="{CD20A7A8-0FE3-45E5-96C0-4245141EF8B8}" id="{A19D8FB2-39D9-4BD1-AD82-6DD61A7879BF}">
    <text>Month that mortgage will replace rent. Client provided.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6-06-29T05:01:21.44" personId="{CD20A7A8-0FE3-45E5-96C0-4245141EF8B8}" id="{B998CB7A-D418-4CE3-8BF4-CFC0659318E6}">
    <text>client expects to live in the apartment by September 2027, stopping rental income but avoiding current rent expense.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79DF-BC4B-45DD-8650-A9585A50F2AC}">
  <dimension ref="A1:S8"/>
  <sheetViews>
    <sheetView topLeftCell="B1" zoomScale="55" zoomScaleNormal="55" workbookViewId="0">
      <selection activeCell="E19" sqref="E19"/>
    </sheetView>
  </sheetViews>
  <sheetFormatPr defaultRowHeight="14.5"/>
  <cols>
    <col min="1" max="1" width="42.453125" customWidth="1"/>
    <col min="2" max="2" width="22.36328125" customWidth="1"/>
    <col min="3" max="3" width="27" customWidth="1"/>
    <col min="4" max="4" width="25.6328125" customWidth="1"/>
    <col min="5" max="5" width="35.6328125" customWidth="1"/>
    <col min="6" max="6" width="14.81640625" customWidth="1"/>
    <col min="7" max="7" width="62.81640625" customWidth="1"/>
  </cols>
  <sheetData>
    <row r="1" spans="1:19" s="6" customFormat="1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0</v>
      </c>
      <c r="G1" s="5"/>
    </row>
    <row r="2" spans="1:19" s="4" customFormat="1">
      <c r="A2" t="s">
        <v>12</v>
      </c>
      <c r="B2">
        <v>17290</v>
      </c>
      <c r="C2">
        <v>17290</v>
      </c>
      <c r="D2" t="s">
        <v>13</v>
      </c>
      <c r="E2" t="s">
        <v>14</v>
      </c>
      <c r="F2" t="s">
        <v>15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1:19" s="4" customFormat="1">
      <c r="A3" t="s">
        <v>16</v>
      </c>
      <c r="B3">
        <v>3730.5</v>
      </c>
      <c r="C3">
        <v>3730.5</v>
      </c>
      <c r="D3" t="s">
        <v>17</v>
      </c>
      <c r="E3" t="s">
        <v>14</v>
      </c>
      <c r="F3" t="s">
        <v>18</v>
      </c>
      <c r="G3"/>
      <c r="H3"/>
      <c r="I3"/>
      <c r="J3"/>
      <c r="K3"/>
      <c r="L3"/>
      <c r="M3"/>
      <c r="N3"/>
      <c r="O3"/>
      <c r="P3"/>
      <c r="Q3"/>
      <c r="R3"/>
      <c r="S3"/>
    </row>
    <row r="4" spans="1:19" s="3" customFormat="1">
      <c r="A4" t="s">
        <v>19</v>
      </c>
      <c r="B4">
        <v>882.53</v>
      </c>
      <c r="C4">
        <v>2356.4699999999998</v>
      </c>
      <c r="D4" t="s">
        <v>20</v>
      </c>
      <c r="E4" t="s">
        <v>21</v>
      </c>
      <c r="F4" t="s">
        <v>22</v>
      </c>
      <c r="G4"/>
      <c r="H4"/>
      <c r="I4"/>
      <c r="J4"/>
      <c r="K4"/>
      <c r="L4"/>
      <c r="M4"/>
      <c r="N4"/>
      <c r="O4"/>
      <c r="P4"/>
      <c r="Q4"/>
      <c r="R4"/>
      <c r="S4"/>
    </row>
    <row r="5" spans="1:19">
      <c r="A5" t="s">
        <v>23</v>
      </c>
      <c r="B5">
        <v>2847.97</v>
      </c>
      <c r="C5">
        <f>C3-C4</f>
        <v>1374.0300000000002</v>
      </c>
      <c r="D5" t="s">
        <v>24</v>
      </c>
      <c r="E5" t="s">
        <v>14</v>
      </c>
      <c r="F5" t="s">
        <v>25</v>
      </c>
    </row>
    <row r="6" spans="1:19">
      <c r="A6" t="s">
        <v>26</v>
      </c>
      <c r="B6">
        <v>3451.03</v>
      </c>
      <c r="C6">
        <v>3451.03</v>
      </c>
      <c r="D6" t="s">
        <v>27</v>
      </c>
      <c r="E6" t="s">
        <v>28</v>
      </c>
      <c r="F6" t="s">
        <v>29</v>
      </c>
    </row>
    <row r="7" spans="1:19">
      <c r="A7" t="s">
        <v>30</v>
      </c>
      <c r="B7">
        <v>2500</v>
      </c>
      <c r="C7">
        <v>2500</v>
      </c>
      <c r="D7" t="s">
        <v>31</v>
      </c>
      <c r="E7" t="s">
        <v>28</v>
      </c>
      <c r="F7" t="s">
        <v>32</v>
      </c>
    </row>
    <row r="8" spans="1:19">
      <c r="A8" t="s">
        <v>33</v>
      </c>
      <c r="B8">
        <v>603.0600000000004</v>
      </c>
      <c r="C8">
        <v>2077</v>
      </c>
      <c r="D8" t="s">
        <v>34</v>
      </c>
      <c r="E8" t="s">
        <v>28</v>
      </c>
      <c r="F8" t="s">
        <v>35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1BE8-BDDB-422F-941F-EB24520BEE0C}">
  <dimension ref="A1:E6"/>
  <sheetViews>
    <sheetView zoomScale="55" zoomScaleNormal="55" workbookViewId="0">
      <selection activeCell="B17" sqref="B17"/>
    </sheetView>
  </sheetViews>
  <sheetFormatPr defaultRowHeight="14.5"/>
  <cols>
    <col min="1" max="1" width="42.453125" customWidth="1"/>
    <col min="2" max="2" width="22.36328125" customWidth="1"/>
    <col min="3" max="3" width="27" customWidth="1"/>
    <col min="4" max="4" width="35.6328125" customWidth="1"/>
    <col min="5" max="5" width="65.54296875" customWidth="1"/>
  </cols>
  <sheetData>
    <row r="1" spans="1:5">
      <c r="A1" s="8" t="s">
        <v>7</v>
      </c>
      <c r="B1" s="8" t="s">
        <v>52</v>
      </c>
      <c r="C1" s="8" t="s">
        <v>53</v>
      </c>
      <c r="D1" s="8" t="s">
        <v>54</v>
      </c>
      <c r="E1" s="8" t="s">
        <v>55</v>
      </c>
    </row>
    <row r="2" spans="1:5">
      <c r="A2" s="1" t="s">
        <v>26</v>
      </c>
      <c r="B2" s="2">
        <v>3451.03</v>
      </c>
      <c r="C2" s="1" t="s">
        <v>14</v>
      </c>
      <c r="D2" s="1" t="s">
        <v>56</v>
      </c>
      <c r="E2" s="1" t="s">
        <v>57</v>
      </c>
    </row>
    <row r="3" spans="1:5">
      <c r="A3" s="1" t="s">
        <v>58</v>
      </c>
      <c r="B3" s="2">
        <v>-2847.97</v>
      </c>
      <c r="C3" s="1" t="s">
        <v>14</v>
      </c>
      <c r="D3" s="1" t="s">
        <v>1</v>
      </c>
      <c r="E3" s="1" t="s">
        <v>59</v>
      </c>
    </row>
    <row r="4" spans="1:5">
      <c r="A4" s="1" t="s">
        <v>60</v>
      </c>
      <c r="B4" s="2">
        <f>B2+B3</f>
        <v>603.0600000000004</v>
      </c>
      <c r="C4" s="1" t="s">
        <v>14</v>
      </c>
      <c r="D4" s="1" t="s">
        <v>1</v>
      </c>
      <c r="E4" s="1"/>
    </row>
    <row r="5" spans="1:5">
      <c r="A5" s="1" t="s">
        <v>61</v>
      </c>
      <c r="B5" s="2">
        <f>-'[1]FGTS Abatement'!B7</f>
        <v>-28277.599999999999</v>
      </c>
      <c r="C5" s="1" t="s">
        <v>14</v>
      </c>
      <c r="D5" s="1" t="s">
        <v>1</v>
      </c>
      <c r="E5" s="1"/>
    </row>
    <row r="6" spans="1:5">
      <c r="A6" s="1" t="s">
        <v>62</v>
      </c>
      <c r="B6" s="2">
        <f>B2+B5</f>
        <v>-24826.57</v>
      </c>
      <c r="C6" s="1" t="s">
        <v>14</v>
      </c>
      <c r="D6" s="1" t="s">
        <v>1</v>
      </c>
      <c r="E6" s="1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2237-EF44-47A9-AB7F-A0E8103FB453}">
  <dimension ref="A1:R7"/>
  <sheetViews>
    <sheetView zoomScale="55" zoomScaleNormal="55" workbookViewId="0">
      <selection activeCell="E8" sqref="E8"/>
    </sheetView>
  </sheetViews>
  <sheetFormatPr defaultRowHeight="14.5"/>
  <cols>
    <col min="1" max="1" width="42.453125" customWidth="1"/>
    <col min="2" max="2" width="22.36328125" customWidth="1"/>
    <col min="3" max="3" width="27" customWidth="1"/>
    <col min="4" max="4" width="35.6328125" customWidth="1"/>
    <col min="5" max="5" width="14.81640625" customWidth="1"/>
    <col min="6" max="6" width="62.81640625" customWidth="1"/>
  </cols>
  <sheetData>
    <row r="1" spans="1:18" s="6" customFormat="1">
      <c r="A1" s="5" t="s">
        <v>36</v>
      </c>
      <c r="B1" s="5" t="s">
        <v>3</v>
      </c>
      <c r="C1" s="5" t="s">
        <v>4</v>
      </c>
      <c r="D1" s="5" t="s">
        <v>38</v>
      </c>
      <c r="E1" s="5" t="s">
        <v>39</v>
      </c>
      <c r="F1" s="5" t="s">
        <v>0</v>
      </c>
    </row>
    <row r="2" spans="1:18" s="4" customFormat="1">
      <c r="A2" t="s">
        <v>40</v>
      </c>
      <c r="B2">
        <v>2175.1999999999998</v>
      </c>
      <c r="C2" t="s">
        <v>6</v>
      </c>
      <c r="D2" t="s">
        <v>1</v>
      </c>
      <c r="E2" t="s">
        <v>41</v>
      </c>
      <c r="F2" t="s">
        <v>42</v>
      </c>
      <c r="G2"/>
      <c r="H2"/>
      <c r="I2"/>
      <c r="J2"/>
      <c r="K2"/>
      <c r="L2"/>
      <c r="M2"/>
      <c r="N2"/>
      <c r="O2"/>
      <c r="P2"/>
      <c r="Q2"/>
      <c r="R2"/>
    </row>
    <row r="3" spans="1:18" s="4" customFormat="1">
      <c r="A3" t="s">
        <v>43</v>
      </c>
      <c r="B3">
        <v>13</v>
      </c>
      <c r="C3" t="s">
        <v>44</v>
      </c>
      <c r="D3" t="s">
        <v>1</v>
      </c>
      <c r="E3" t="s">
        <v>45</v>
      </c>
      <c r="F3" t="s">
        <v>46</v>
      </c>
      <c r="G3"/>
      <c r="H3"/>
      <c r="I3"/>
      <c r="J3"/>
      <c r="K3"/>
      <c r="L3"/>
      <c r="M3"/>
      <c r="N3"/>
      <c r="O3"/>
      <c r="P3"/>
      <c r="Q3"/>
      <c r="R3"/>
    </row>
    <row r="4" spans="1:18" s="3" customFormat="1">
      <c r="A4" t="s">
        <v>47</v>
      </c>
      <c r="B4">
        <f>B2*B3</f>
        <v>28277.599999999999</v>
      </c>
      <c r="C4" t="s">
        <v>2</v>
      </c>
      <c r="D4" t="s">
        <v>1</v>
      </c>
      <c r="E4" t="s">
        <v>37</v>
      </c>
      <c r="F4"/>
      <c r="G4"/>
      <c r="H4"/>
      <c r="I4"/>
      <c r="J4"/>
      <c r="K4"/>
      <c r="L4"/>
      <c r="M4"/>
      <c r="N4"/>
      <c r="O4"/>
      <c r="P4"/>
      <c r="Q4"/>
      <c r="R4"/>
    </row>
    <row r="5" spans="1:18">
      <c r="A5" t="s">
        <v>48</v>
      </c>
      <c r="B5">
        <v>12</v>
      </c>
      <c r="C5" t="s">
        <v>49</v>
      </c>
      <c r="D5" t="s">
        <v>1</v>
      </c>
      <c r="E5" t="s">
        <v>45</v>
      </c>
    </row>
    <row r="6" spans="1:18">
      <c r="A6" t="s">
        <v>50</v>
      </c>
      <c r="B6">
        <f>B4/B5</f>
        <v>2356.4666666666667</v>
      </c>
      <c r="C6" t="s">
        <v>6</v>
      </c>
      <c r="D6" t="s">
        <v>1</v>
      </c>
      <c r="E6" t="s">
        <v>37</v>
      </c>
    </row>
    <row r="7" spans="1:18">
      <c r="A7" t="s">
        <v>51</v>
      </c>
      <c r="B7">
        <f>'Mortgage '!B3-B6</f>
        <v>1374.0333333333333</v>
      </c>
      <c r="C7" t="s">
        <v>6</v>
      </c>
      <c r="D7" t="s">
        <v>1</v>
      </c>
      <c r="E7" t="s">
        <v>37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D460-5C31-47DA-963D-7BC341AE2150}">
  <dimension ref="A1:G6"/>
  <sheetViews>
    <sheetView zoomScale="55" zoomScaleNormal="55" workbookViewId="0">
      <selection activeCell="A7" sqref="A7"/>
    </sheetView>
  </sheetViews>
  <sheetFormatPr defaultRowHeight="14.5"/>
  <cols>
    <col min="1" max="1" width="42.453125" customWidth="1"/>
    <col min="2" max="2" width="22.36328125" customWidth="1"/>
    <col min="3" max="3" width="27" customWidth="1"/>
    <col min="4" max="4" width="35.6328125" customWidth="1"/>
    <col min="5" max="5" width="65.54296875" customWidth="1"/>
    <col min="6" max="6" width="21.453125" customWidth="1"/>
    <col min="7" max="7" width="67.54296875" bestFit="1" customWidth="1"/>
  </cols>
  <sheetData>
    <row r="1" spans="1:7" s="9" customFormat="1" ht="13.5" customHeight="1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0</v>
      </c>
    </row>
    <row r="2" spans="1:7">
      <c r="A2" s="1" t="s">
        <v>69</v>
      </c>
      <c r="B2" s="2">
        <v>3451.03</v>
      </c>
      <c r="C2" s="1">
        <v>-2847.97</v>
      </c>
      <c r="D2" s="1">
        <v>-2500</v>
      </c>
      <c r="E2" s="2">
        <f>SUM(B2:D2)</f>
        <v>-1896.9399999999996</v>
      </c>
      <c r="F2">
        <v>-1473.9366666666665</v>
      </c>
      <c r="G2" t="s">
        <v>70</v>
      </c>
    </row>
    <row r="3" spans="1:7">
      <c r="A3" s="1" t="s">
        <v>71</v>
      </c>
      <c r="B3" s="2">
        <v>3451.03</v>
      </c>
      <c r="C3" s="1">
        <f>-'FGTS Abatement'!B7</f>
        <v>-1374.0333333333333</v>
      </c>
      <c r="D3" s="1">
        <v>-2500</v>
      </c>
      <c r="E3" s="2">
        <f t="shared" ref="E3:E4" si="0">SUM(B3:D3)</f>
        <v>-423.0033333333331</v>
      </c>
      <c r="F3">
        <v>0</v>
      </c>
      <c r="G3" t="s">
        <v>72</v>
      </c>
    </row>
    <row r="4" spans="1:7">
      <c r="A4" s="1" t="s">
        <v>73</v>
      </c>
      <c r="B4" s="2">
        <v>0</v>
      </c>
      <c r="C4" s="1">
        <f>-'FGTS Abatement'!B7</f>
        <v>-1374.0333333333333</v>
      </c>
      <c r="D4" s="1">
        <v>0</v>
      </c>
      <c r="E4" s="2">
        <f t="shared" si="0"/>
        <v>-1374.0333333333333</v>
      </c>
      <c r="F4">
        <v>-951.0300000000002</v>
      </c>
      <c r="G4" t="s">
        <v>74</v>
      </c>
    </row>
    <row r="5" spans="1:7">
      <c r="A5" s="1"/>
      <c r="B5" s="2"/>
      <c r="C5" s="1"/>
      <c r="D5" s="1"/>
      <c r="E5" s="1"/>
    </row>
    <row r="6" spans="1:7">
      <c r="A6" s="1"/>
      <c r="B6" s="2"/>
      <c r="C6" s="1"/>
      <c r="D6" s="1"/>
      <c r="E6" s="1"/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586E-E359-4539-9C4B-F5E1DB7225CF}">
  <dimension ref="A1:E6"/>
  <sheetViews>
    <sheetView tabSelected="1" zoomScale="55" zoomScaleNormal="55" workbookViewId="0">
      <selection activeCell="C11" sqref="C11"/>
    </sheetView>
  </sheetViews>
  <sheetFormatPr defaultRowHeight="14.5"/>
  <cols>
    <col min="1" max="1" width="42.453125" customWidth="1"/>
    <col min="2" max="2" width="22.36328125" customWidth="1"/>
    <col min="3" max="3" width="27" customWidth="1"/>
    <col min="4" max="4" width="35.6328125" customWidth="1"/>
    <col min="5" max="5" width="65.54296875" customWidth="1"/>
    <col min="6" max="6" width="21.453125" customWidth="1"/>
    <col min="7" max="7" width="67.54296875" bestFit="1" customWidth="1"/>
  </cols>
  <sheetData>
    <row r="1" spans="1:5" s="9" customFormat="1">
      <c r="A1" s="7" t="s">
        <v>5</v>
      </c>
      <c r="B1" s="7" t="s">
        <v>75</v>
      </c>
      <c r="C1" s="7" t="s">
        <v>76</v>
      </c>
      <c r="D1" s="7" t="s">
        <v>77</v>
      </c>
      <c r="E1" s="7" t="s">
        <v>78</v>
      </c>
    </row>
    <row r="2" spans="1:5">
      <c r="A2" s="1" t="s">
        <v>40</v>
      </c>
      <c r="B2" s="2">
        <v>2675.2</v>
      </c>
      <c r="C2" s="10">
        <v>2175.1999999999998</v>
      </c>
      <c r="D2" s="1" t="s">
        <v>76</v>
      </c>
      <c r="E2" s="1" t="s">
        <v>79</v>
      </c>
    </row>
    <row r="3" spans="1:5">
      <c r="A3" s="1" t="s">
        <v>80</v>
      </c>
      <c r="B3" s="2">
        <v>18000</v>
      </c>
      <c r="C3" s="10">
        <v>17893.060000000001</v>
      </c>
      <c r="D3" s="1" t="s">
        <v>76</v>
      </c>
      <c r="E3" s="1" t="s">
        <v>81</v>
      </c>
    </row>
    <row r="5" spans="1:5">
      <c r="A5" s="1"/>
      <c r="B5" s="2"/>
      <c r="C5" s="1"/>
      <c r="D5" s="1"/>
      <c r="E5" s="1"/>
    </row>
    <row r="6" spans="1:5">
      <c r="A6" s="1"/>
      <c r="B6" s="2"/>
      <c r="C6" s="1"/>
      <c r="D6" s="1"/>
      <c r="E6" s="1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Mortgage </vt:lpstr>
      <vt:lpstr>Rental Income</vt:lpstr>
      <vt:lpstr>FGTS Abatement</vt:lpstr>
      <vt:lpstr>Move in scenario</vt:lpstr>
      <vt:lpstr>Assumption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Carvalho</dc:creator>
  <cp:lastModifiedBy>Aurea Carvalho</cp:lastModifiedBy>
  <dcterms:created xsi:type="dcterms:W3CDTF">2026-06-29T02:03:56Z</dcterms:created>
  <dcterms:modified xsi:type="dcterms:W3CDTF">2026-06-29T05:06:49Z</dcterms:modified>
</cp:coreProperties>
</file>