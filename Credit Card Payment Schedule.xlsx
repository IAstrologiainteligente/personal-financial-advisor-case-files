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c0965d8b70b7c10/Documentos/Documents/"/>
    </mc:Choice>
  </mc:AlternateContent>
  <xr:revisionPtr revIDLastSave="47" documentId="8_{F9ABFC7E-752F-42FD-8225-46DC8623FBDD}" xr6:coauthVersionLast="47" xr6:coauthVersionMax="47" xr10:uidLastSave="{D139AFF7-6486-41A7-A52E-89569AB3E254}"/>
  <bookViews>
    <workbookView xWindow="11190" yWindow="0" windowWidth="11460" windowHeight="14410" firstSheet="2" activeTab="3" xr2:uid="{38A68108-0A27-4D04-BCE9-C65F80CD624E}"/>
  </bookViews>
  <sheets>
    <sheet name="Monthly schedule" sheetId="8" r:id="rId1"/>
    <sheet name="January deferral" sheetId="9" r:id="rId2"/>
    <sheet name="Remaining balance" sheetId="10" r:id="rId3"/>
    <sheet name="Notes" sheetId="1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" i="10" l="1"/>
  <c r="D6" i="10"/>
  <c r="D7" i="10"/>
  <c r="E7" i="10" s="1"/>
  <c r="D8" i="10"/>
  <c r="D9" i="10"/>
  <c r="D10" i="10"/>
  <c r="D11" i="10"/>
  <c r="D12" i="10"/>
  <c r="D13" i="10"/>
  <c r="D14" i="10"/>
  <c r="D15" i="10"/>
  <c r="D16" i="10"/>
  <c r="C5" i="10"/>
  <c r="C6" i="10"/>
  <c r="C7" i="10"/>
  <c r="C8" i="10"/>
  <c r="C9" i="10"/>
  <c r="C10" i="10"/>
  <c r="C11" i="10"/>
  <c r="E11" i="10" s="1"/>
  <c r="C12" i="10"/>
  <c r="E12" i="10" s="1"/>
  <c r="C13" i="10"/>
  <c r="E13" i="10" s="1"/>
  <c r="C14" i="10"/>
  <c r="C15" i="10"/>
  <c r="C16" i="10"/>
  <c r="C4" i="10"/>
  <c r="B5" i="10"/>
  <c r="E5" i="10" s="1"/>
  <c r="B6" i="10"/>
  <c r="B7" i="10"/>
  <c r="B8" i="10"/>
  <c r="B9" i="10"/>
  <c r="B10" i="10"/>
  <c r="E10" i="10" s="1"/>
  <c r="B11" i="10"/>
  <c r="B12" i="10"/>
  <c r="B13" i="10"/>
  <c r="B14" i="10"/>
  <c r="E14" i="10" s="1"/>
  <c r="B15" i="10"/>
  <c r="E15" i="10" s="1"/>
  <c r="B16" i="10"/>
  <c r="B4" i="10"/>
  <c r="E9" i="10"/>
  <c r="E8" i="10"/>
  <c r="D4" i="10"/>
  <c r="E4" i="10" s="1"/>
  <c r="F16" i="9"/>
  <c r="G14" i="9" s="1"/>
  <c r="F15" i="9"/>
  <c r="F14" i="9"/>
  <c r="F13" i="9"/>
  <c r="F12" i="9"/>
  <c r="F11" i="9"/>
  <c r="F10" i="9"/>
  <c r="F9" i="9"/>
  <c r="F8" i="9"/>
  <c r="F7" i="9"/>
  <c r="F6" i="9"/>
  <c r="F5" i="9"/>
  <c r="F4" i="9"/>
  <c r="F16" i="8"/>
  <c r="G16" i="8" s="1"/>
  <c r="F15" i="8"/>
  <c r="F14" i="8"/>
  <c r="G14" i="8" s="1"/>
  <c r="F13" i="8"/>
  <c r="G13" i="8" s="1"/>
  <c r="F12" i="8"/>
  <c r="G12" i="8" s="1"/>
  <c r="F11" i="8"/>
  <c r="G11" i="8" s="1"/>
  <c r="F10" i="8"/>
  <c r="G10" i="8" s="1"/>
  <c r="F9" i="8"/>
  <c r="F8" i="8"/>
  <c r="G8" i="8" s="1"/>
  <c r="F7" i="8"/>
  <c r="G7" i="8" s="1"/>
  <c r="F6" i="8"/>
  <c r="G6" i="8" s="1"/>
  <c r="F5" i="8"/>
  <c r="G5" i="8" s="1"/>
  <c r="F4" i="8"/>
  <c r="G4" i="8" s="1"/>
  <c r="E6" i="10" l="1"/>
  <c r="E16" i="10"/>
  <c r="G5" i="9"/>
  <c r="G16" i="9"/>
  <c r="G7" i="9"/>
  <c r="G9" i="9"/>
  <c r="G10" i="9"/>
  <c r="G11" i="9"/>
  <c r="G12" i="9"/>
  <c r="G13" i="9"/>
  <c r="G6" i="9"/>
  <c r="G8" i="9"/>
  <c r="G4" i="9"/>
  <c r="G15" i="9"/>
  <c r="G9" i="8"/>
  <c r="G15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tc={CD14781A-246D-4DF9-9A4B-3C4A5594B026}</author>
  </authors>
  <commentList>
    <comment ref="B4" authorId="0" shapeId="0" xr:uid="{CD14781A-246D-4DF9-9A4B-3C4A5594B02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Client-provided planning figures consolidated from. July Bradesco shown as zero after approved due-date deferral assumption.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tc={2432C446-2129-4930-9FFD-1813CF409DAD}</author>
  </authors>
  <commentList>
    <comment ref="B10" authorId="0" shapeId="0" xr:uid="{2432C446-2129-4930-9FFD-1813CF409DA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Planning assumption: January 2027 deferral must be separately confirmed under card issuer rules.</t>
      </text>
    </comment>
  </commentList>
</comments>
</file>

<file path=xl/sharedStrings.xml><?xml version="1.0" encoding="utf-8"?>
<sst xmlns="http://schemas.openxmlformats.org/spreadsheetml/2006/main" count="106" uniqueCount="62">
  <si>
    <t>Notes</t>
  </si>
  <si>
    <t>Bradesco</t>
  </si>
  <si>
    <t>Jul/2026</t>
  </si>
  <si>
    <t>Itaú Mastercard</t>
  </si>
  <si>
    <t>Santander</t>
  </si>
  <si>
    <t>Family Card</t>
  </si>
  <si>
    <t>Jan/2027</t>
  </si>
  <si>
    <t>Aug/2026</t>
  </si>
  <si>
    <t>Feb/2027</t>
  </si>
  <si>
    <t>Sep/2026</t>
  </si>
  <si>
    <t>Dec/2026</t>
  </si>
  <si>
    <t>Month</t>
  </si>
  <si>
    <t>Oct/2026</t>
  </si>
  <si>
    <t>Nov/2026</t>
  </si>
  <si>
    <t>Monthly Schedule</t>
  </si>
  <si>
    <t>Total Cards</t>
  </si>
  <si>
    <t>Remaining Scheduled Payments</t>
  </si>
  <si>
    <t>July schedule reflects approved deferral of the two large personal cards.</t>
  </si>
  <si>
    <t>Bradesco reflects July bill after R$ 5,300 prepayment.</t>
  </si>
  <si>
    <t>Largest scheduled card month.</t>
  </si>
  <si>
    <t>Still requires variable income support.</t>
  </si>
  <si>
    <t>Pressure remains high if no additional work continues.</t>
  </si>
  <si>
    <t>Year-end salary bonus expected in cash-flow file.</t>
  </si>
  <si>
    <t>Base schedule before any January deferral scenario.</t>
  </si>
  <si>
    <t>February includes performance bonus and honorarium in cash-flow file.</t>
  </si>
  <si>
    <t>Mar/2027</t>
  </si>
  <si>
    <t>Normalization begins.</t>
  </si>
  <si>
    <t>Apr/2027</t>
  </si>
  <si>
    <t>Card burden materially lower.</t>
  </si>
  <si>
    <t>May/2027</t>
  </si>
  <si>
    <t>Near end of scheduled card ladder.</t>
  </si>
  <si>
    <t>Jun/2027</t>
  </si>
  <si>
    <t>No mapped legacy card obligations after May in source plan.</t>
  </si>
  <si>
    <t>Jul/2027</t>
  </si>
  <si>
    <t>Clean month if no new debt is added.</t>
  </si>
  <si>
    <t>January</t>
  </si>
  <si>
    <t>January deferral scenario: large personal cards deferred if issuer rule is satisfied.</t>
  </si>
  <si>
    <t>January Itaú/Master amount moves into February in this scenario.</t>
  </si>
  <si>
    <t>February Itaú/Master amount moves into March.</t>
  </si>
  <si>
    <t>Scenario tail shifts one month later.</t>
  </si>
  <si>
    <t>Final shifted month under January deferral scenario.</t>
  </si>
  <si>
    <t>Remaining Card Balance Comparison</t>
  </si>
  <si>
    <t>Base Total Cards</t>
  </si>
  <si>
    <t>Scenario Total Cards</t>
  </si>
  <si>
    <t>Scenario Benefit/(Cost)</t>
  </si>
  <si>
    <t>Interpretation</t>
  </si>
  <si>
    <t>Issue</t>
  </si>
  <si>
    <t>Treatment</t>
  </si>
  <si>
    <t>Planning Implication</t>
  </si>
  <si>
    <t>Advisor Caution</t>
  </si>
  <si>
    <t>July large card bills</t>
  </si>
  <si>
    <t>Recorded as deferred in the schedule</t>
  </si>
  <si>
    <t>Creates a strong July liquidity cushion</t>
  </si>
  <si>
    <t>Confirm the next due date in writing.</t>
  </si>
  <si>
    <t>January 2027 deferral</t>
  </si>
  <si>
    <t>Scenario only, not guaranteed</t>
  </si>
  <si>
    <t>Potentially reduces cash pressure before February bonus</t>
  </si>
  <si>
    <t>Do not treat as guaranteed relief unless issuer rule is confirmed.</t>
  </si>
  <si>
    <t>No new revolving credit</t>
  </si>
  <si>
    <t>Assumed in all schedules</t>
  </si>
  <si>
    <t>Keeps the card ladder declining</t>
  </si>
  <si>
    <t>Any new balance would invalidate the clean July 2027 view.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</si>
</sst>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;[Red]\(\R\$\ #,##0.00\);\-"/>
  </numFmts>
  <fonts count="7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rlito"/>
    </font>
    <font>
      <sz val="9"/>
      <color indexed="81"/>
      <name val="Segoe UI"/>
      <family val="2"/>
    </font>
    <font>
      <i/>
      <sz val="11"/>
      <color theme="2" tint="-0.249977111117893"/>
      <name val="Carlito"/>
    </font>
    <font>
      <b/>
      <sz val="11"/>
      <color rgb="FFFFFFFF"/>
      <name val="Carlito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4E78"/>
      </patternFill>
    </fill>
    <fill>
      <patternFill patternType="solid">
        <fgColor theme="2"/>
        <bgColor indexed="64"/>
      </patternFill>
    </fill>
    <fill>
      <patternFill patternType="solid">
        <fgColor theme="2"/>
        <bgColor theme="4" tint="0.79998168889431442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6" fillId="4" borderId="0" xfId="0" applyFont="1" applyFill="1" applyAlignment="1">
      <alignment horizontal="center" vertical="center"/>
    </xf>
    <xf numFmtId="0" fontId="1" fillId="2" borderId="1" xfId="0" applyFont="1" applyFill="1" applyBorder="1"/>
    <xf numFmtId="0" fontId="0" fillId="5" borderId="0" xfId="0" applyFill="1" applyAlignment="1">
      <alignment wrapText="1"/>
    </xf>
    <xf numFmtId="0" fontId="5" fillId="3" borderId="5" xfId="0" applyFont="1" applyFill="1" applyBorder="1"/>
    <xf numFmtId="0" fontId="3" fillId="6" borderId="2" xfId="0" applyFont="1" applyFill="1" applyBorder="1" applyAlignment="1">
      <alignment wrapText="1"/>
    </xf>
    <xf numFmtId="164" fontId="0" fillId="6" borderId="3" xfId="0" applyNumberFormat="1" applyFill="1" applyBorder="1" applyAlignment="1">
      <alignment wrapText="1"/>
    </xf>
    <xf numFmtId="0" fontId="3" fillId="6" borderId="4" xfId="0" applyFont="1" applyFill="1" applyBorder="1" applyAlignment="1">
      <alignment wrapText="1"/>
    </xf>
    <xf numFmtId="0" fontId="0" fillId="5" borderId="0" xfId="0" applyFill="1"/>
    <xf numFmtId="0" fontId="3" fillId="5" borderId="2" xfId="0" applyFont="1" applyFill="1" applyBorder="1" applyAlignment="1">
      <alignment wrapText="1"/>
    </xf>
    <xf numFmtId="164" fontId="0" fillId="5" borderId="3" xfId="0" applyNumberFormat="1" applyFill="1" applyBorder="1" applyAlignment="1">
      <alignment wrapText="1"/>
    </xf>
    <xf numFmtId="0" fontId="3" fillId="5" borderId="4" xfId="0" applyFont="1" applyFill="1" applyBorder="1" applyAlignment="1">
      <alignment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urea Carvalho" id="{CD20A7A8-0FE3-45E5-96C0-4245141EF8B8}" userId="4c0965d8b70b7c10" providerId="Windows Live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4" dT="2026-06-29T04:05:04.91" personId="{CD20A7A8-0FE3-45E5-96C0-4245141EF8B8}" id="{CD14781A-246D-4DF9-9A4B-3C4A5594B026}">
    <text xml:space="preserve">Client-provided planning figures consolidated from. July Bradesco shown as zero after approved due-date deferral assumption.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0" dT="2026-06-29T04:11:37.52" personId="{CD20A7A8-0FE3-45E5-96C0-4245141EF8B8}" id="{2432C446-2129-4930-9FFD-1813CF409DAD}">
    <text>Planning assumption: January 2027 deferral must be separately confirmed under card issuer rules.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471B9-03FB-4C30-92BD-DC9BCFBBC300}">
  <dimension ref="A1:H16"/>
  <sheetViews>
    <sheetView zoomScale="55" zoomScaleNormal="55" workbookViewId="0">
      <selection activeCell="G10" sqref="G10"/>
    </sheetView>
  </sheetViews>
  <sheetFormatPr defaultRowHeight="14.5"/>
  <cols>
    <col min="1" max="1" width="17.1796875" customWidth="1"/>
    <col min="2" max="2" width="17.54296875" customWidth="1"/>
    <col min="3" max="3" width="14.90625" customWidth="1"/>
    <col min="4" max="4" width="25.6328125" customWidth="1"/>
    <col min="5" max="5" width="27.7265625" customWidth="1"/>
    <col min="6" max="6" width="14.81640625" customWidth="1"/>
    <col min="7" max="7" width="31.54296875" customWidth="1"/>
    <col min="8" max="8" width="62.81640625" customWidth="1"/>
  </cols>
  <sheetData>
    <row r="1" spans="1:8" s="1" customFormat="1">
      <c r="A1" s="5" t="s">
        <v>14</v>
      </c>
    </row>
    <row r="2" spans="1:8">
      <c r="A2" s="7"/>
      <c r="B2" s="7"/>
      <c r="C2" s="7"/>
      <c r="D2" s="7"/>
      <c r="E2" s="7"/>
      <c r="F2" s="7"/>
      <c r="G2" s="7"/>
    </row>
    <row r="3" spans="1:8">
      <c r="A3" s="4" t="s">
        <v>11</v>
      </c>
      <c r="B3" s="4" t="s">
        <v>1</v>
      </c>
      <c r="C3" s="4" t="s">
        <v>3</v>
      </c>
      <c r="D3" s="4" t="s">
        <v>4</v>
      </c>
      <c r="E3" s="4" t="s">
        <v>5</v>
      </c>
      <c r="F3" s="4" t="s">
        <v>15</v>
      </c>
      <c r="G3" s="4" t="s">
        <v>16</v>
      </c>
      <c r="H3" s="4" t="s">
        <v>0</v>
      </c>
    </row>
    <row r="4" spans="1:8" s="11" customFormat="1" ht="28.5">
      <c r="A4" s="8" t="s">
        <v>2</v>
      </c>
      <c r="B4" s="9">
        <v>0</v>
      </c>
      <c r="C4" s="9">
        <v>0</v>
      </c>
      <c r="D4" s="9">
        <v>3136.83</v>
      </c>
      <c r="E4" s="9">
        <v>5253.5</v>
      </c>
      <c r="F4" s="9">
        <f t="shared" ref="F4:F16" si="0">SUM(B4:E4)</f>
        <v>8390.33</v>
      </c>
      <c r="G4" s="9">
        <f>SUM(F4:F16)</f>
        <v>142370.70000000001</v>
      </c>
      <c r="H4" s="10" t="s">
        <v>17</v>
      </c>
    </row>
    <row r="5" spans="1:8" s="11" customFormat="1">
      <c r="A5" s="12" t="s">
        <v>7</v>
      </c>
      <c r="B5" s="13">
        <v>9660.1299999999992</v>
      </c>
      <c r="C5" s="13">
        <v>6047.97</v>
      </c>
      <c r="D5" s="13">
        <v>2916.04</v>
      </c>
      <c r="E5" s="13">
        <v>2678.59</v>
      </c>
      <c r="F5" s="13">
        <f t="shared" si="0"/>
        <v>21302.73</v>
      </c>
      <c r="G5" s="13">
        <f>SUM(F5:F16)</f>
        <v>133980.37000000002</v>
      </c>
      <c r="H5" s="14" t="s">
        <v>18</v>
      </c>
    </row>
    <row r="6" spans="1:8" s="6" customFormat="1">
      <c r="A6" s="8" t="s">
        <v>9</v>
      </c>
      <c r="B6" s="9">
        <v>14960.13</v>
      </c>
      <c r="C6" s="9">
        <v>5982.08</v>
      </c>
      <c r="D6" s="9">
        <v>2569.41</v>
      </c>
      <c r="E6" s="9">
        <v>1124.23</v>
      </c>
      <c r="F6" s="9">
        <f t="shared" si="0"/>
        <v>24635.85</v>
      </c>
      <c r="G6" s="9">
        <f>SUM(F6:F16)</f>
        <v>112677.64</v>
      </c>
      <c r="H6" s="10" t="s">
        <v>19</v>
      </c>
    </row>
    <row r="7" spans="1:8" s="11" customFormat="1">
      <c r="A7" s="12" t="s">
        <v>12</v>
      </c>
      <c r="B7" s="13">
        <v>10503.16</v>
      </c>
      <c r="C7" s="13">
        <v>5982.08</v>
      </c>
      <c r="D7" s="13">
        <v>519.97</v>
      </c>
      <c r="E7" s="13">
        <v>986.98</v>
      </c>
      <c r="F7" s="13">
        <f t="shared" si="0"/>
        <v>17992.189999999999</v>
      </c>
      <c r="G7" s="13">
        <f>SUM(F7:F16)</f>
        <v>88041.79</v>
      </c>
      <c r="H7" s="14" t="s">
        <v>20</v>
      </c>
    </row>
    <row r="8" spans="1:8" s="11" customFormat="1">
      <c r="A8" s="8" t="s">
        <v>13</v>
      </c>
      <c r="B8" s="9">
        <v>9252.4699999999993</v>
      </c>
      <c r="C8" s="9">
        <v>5834.65</v>
      </c>
      <c r="D8" s="9">
        <v>519.97</v>
      </c>
      <c r="E8" s="9">
        <v>970.9</v>
      </c>
      <c r="F8" s="9">
        <f t="shared" si="0"/>
        <v>16577.989999999998</v>
      </c>
      <c r="G8" s="9">
        <f>SUM(F8:F16)</f>
        <v>70049.600000000006</v>
      </c>
      <c r="H8" s="10" t="s">
        <v>21</v>
      </c>
    </row>
    <row r="9" spans="1:8" s="11" customFormat="1">
      <c r="A9" s="12" t="s">
        <v>10</v>
      </c>
      <c r="B9" s="13">
        <v>6817.79</v>
      </c>
      <c r="C9" s="13">
        <v>5780.66</v>
      </c>
      <c r="D9" s="13">
        <v>519.97</v>
      </c>
      <c r="E9" s="13">
        <v>293.39999999999998</v>
      </c>
      <c r="F9" s="13">
        <f t="shared" si="0"/>
        <v>13411.82</v>
      </c>
      <c r="G9" s="13">
        <f>SUM(F9:F16)</f>
        <v>53471.61</v>
      </c>
      <c r="H9" s="14" t="s">
        <v>22</v>
      </c>
    </row>
    <row r="10" spans="1:8" s="11" customFormat="1">
      <c r="A10" s="8" t="s">
        <v>6</v>
      </c>
      <c r="B10" s="9">
        <v>5227.45</v>
      </c>
      <c r="C10" s="9">
        <v>3495.65</v>
      </c>
      <c r="D10" s="9">
        <v>519.97</v>
      </c>
      <c r="E10" s="9">
        <v>293.39999999999998</v>
      </c>
      <c r="F10" s="9">
        <f t="shared" si="0"/>
        <v>9536.4699999999993</v>
      </c>
      <c r="G10" s="9">
        <f>SUM(F10:F16)</f>
        <v>40059.79</v>
      </c>
      <c r="H10" s="10" t="s">
        <v>23</v>
      </c>
    </row>
    <row r="11" spans="1:8" s="11" customFormat="1" ht="28.5">
      <c r="A11" s="12" t="s">
        <v>8</v>
      </c>
      <c r="B11" s="13">
        <v>5227.45</v>
      </c>
      <c r="C11" s="13">
        <v>3156.13</v>
      </c>
      <c r="D11" s="13">
        <v>519.97</v>
      </c>
      <c r="E11" s="13">
        <v>44</v>
      </c>
      <c r="F11" s="13">
        <f t="shared" si="0"/>
        <v>8947.5499999999993</v>
      </c>
      <c r="G11" s="13">
        <f>SUM(F11:F16)</f>
        <v>30523.32</v>
      </c>
      <c r="H11" s="14" t="s">
        <v>24</v>
      </c>
    </row>
    <row r="12" spans="1:8" s="11" customFormat="1">
      <c r="A12" s="8" t="s">
        <v>25</v>
      </c>
      <c r="B12" s="9">
        <v>5227.45</v>
      </c>
      <c r="C12" s="9">
        <v>2414.9899999999998</v>
      </c>
      <c r="D12" s="9">
        <v>519.97</v>
      </c>
      <c r="E12" s="9">
        <v>44</v>
      </c>
      <c r="F12" s="9">
        <f t="shared" si="0"/>
        <v>8206.41</v>
      </c>
      <c r="G12" s="9">
        <f>SUM(F12:F16)</f>
        <v>21575.77</v>
      </c>
      <c r="H12" s="10" t="s">
        <v>26</v>
      </c>
    </row>
    <row r="13" spans="1:8" s="11" customFormat="1">
      <c r="A13" s="12" t="s">
        <v>27</v>
      </c>
      <c r="B13" s="13">
        <v>3930.42</v>
      </c>
      <c r="C13" s="13">
        <v>2414.9899999999998</v>
      </c>
      <c r="D13" s="13">
        <v>519.97</v>
      </c>
      <c r="E13" s="13">
        <v>44</v>
      </c>
      <c r="F13" s="13">
        <f t="shared" si="0"/>
        <v>6909.38</v>
      </c>
      <c r="G13" s="13">
        <f>SUM(F13:F16)</f>
        <v>13369.36</v>
      </c>
      <c r="H13" s="14" t="s">
        <v>28</v>
      </c>
    </row>
    <row r="14" spans="1:8" s="11" customFormat="1">
      <c r="A14" s="8" t="s">
        <v>29</v>
      </c>
      <c r="B14" s="9">
        <v>3930.42</v>
      </c>
      <c r="C14" s="9">
        <v>2009.59</v>
      </c>
      <c r="D14" s="9">
        <v>519.97</v>
      </c>
      <c r="E14" s="9">
        <v>0</v>
      </c>
      <c r="F14" s="9">
        <f t="shared" si="0"/>
        <v>6459.9800000000005</v>
      </c>
      <c r="G14" s="9">
        <f>SUM(F14:F16)</f>
        <v>6459.9800000000005</v>
      </c>
      <c r="H14" s="10" t="s">
        <v>30</v>
      </c>
    </row>
    <row r="15" spans="1:8" s="11" customFormat="1">
      <c r="A15" s="12" t="s">
        <v>31</v>
      </c>
      <c r="B15" s="13">
        <v>0</v>
      </c>
      <c r="C15" s="13">
        <v>0</v>
      </c>
      <c r="D15" s="13">
        <v>0</v>
      </c>
      <c r="E15" s="13">
        <v>0</v>
      </c>
      <c r="F15" s="13">
        <f t="shared" si="0"/>
        <v>0</v>
      </c>
      <c r="G15" s="13">
        <f>SUM(F15:F16)</f>
        <v>0</v>
      </c>
      <c r="H15" s="14" t="s">
        <v>32</v>
      </c>
    </row>
    <row r="16" spans="1:8" s="11" customFormat="1">
      <c r="A16" s="8" t="s">
        <v>33</v>
      </c>
      <c r="B16" s="9">
        <v>0</v>
      </c>
      <c r="C16" s="9">
        <v>0</v>
      </c>
      <c r="D16" s="9">
        <v>0</v>
      </c>
      <c r="E16" s="9">
        <v>0</v>
      </c>
      <c r="F16" s="9">
        <f t="shared" si="0"/>
        <v>0</v>
      </c>
      <c r="G16" s="9">
        <f>SUM(F16:F16)</f>
        <v>0</v>
      </c>
      <c r="H16" s="10" t="s">
        <v>34</v>
      </c>
    </row>
  </sheetData>
  <mergeCells count="1">
    <mergeCell ref="A2:G2"/>
  </mergeCells>
  <conditionalFormatting sqref="F4:F16">
    <cfRule type="dataBar" priority="1">
      <dataBar>
        <cfvo type="min"/>
        <cfvo type="max"/>
        <color rgb="FF4472C4"/>
      </dataBar>
    </cfRule>
    <cfRule type="dataBar" priority="2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{8C9262D0-D922-448B-9938-E5DB49B621C8}</x14:id>
        </ext>
      </extLst>
    </cfRule>
  </conditionalFormatting>
  <pageMargins left="0.511811024" right="0.511811024" top="0.78740157499999996" bottom="0.78740157499999996" header="0.31496062000000002" footer="0.31496062000000002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C9262D0-D922-448B-9938-E5DB49B621C8}">
            <x14:dataBar>
              <x14:cfvo type="min"/>
              <x14:cfvo type="max"/>
              <x14:negativeFillColor auto="1"/>
              <x14:axisColor auto="1"/>
            </x14:dataBar>
          </x14:cfRule>
          <xm:sqref>F4:F16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46B6B-89D9-437B-85B3-9D876B5F2C71}">
  <dimension ref="A1:H16"/>
  <sheetViews>
    <sheetView zoomScale="55" zoomScaleNormal="55" workbookViewId="0">
      <selection activeCell="F31" sqref="F31"/>
    </sheetView>
  </sheetViews>
  <sheetFormatPr defaultRowHeight="14.5"/>
  <cols>
    <col min="1" max="1" width="17.1796875" customWidth="1"/>
    <col min="2" max="2" width="17.54296875" customWidth="1"/>
    <col min="3" max="3" width="14.90625" customWidth="1"/>
    <col min="4" max="4" width="25.6328125" customWidth="1"/>
    <col min="5" max="5" width="27.7265625" customWidth="1"/>
    <col min="6" max="6" width="14.81640625" customWidth="1"/>
    <col min="7" max="7" width="31.54296875" customWidth="1"/>
    <col min="8" max="8" width="62.81640625" customWidth="1"/>
  </cols>
  <sheetData>
    <row r="1" spans="1:8" s="1" customFormat="1">
      <c r="A1" s="5" t="s">
        <v>35</v>
      </c>
    </row>
    <row r="2" spans="1:8">
      <c r="A2" s="7"/>
      <c r="B2" s="7"/>
      <c r="C2" s="7"/>
      <c r="D2" s="7"/>
      <c r="E2" s="7"/>
      <c r="F2" s="7"/>
      <c r="G2" s="7"/>
    </row>
    <row r="3" spans="1:8">
      <c r="A3" s="4" t="s">
        <v>11</v>
      </c>
      <c r="B3" s="4" t="s">
        <v>1</v>
      </c>
      <c r="C3" s="4" t="s">
        <v>3</v>
      </c>
      <c r="D3" s="4" t="s">
        <v>4</v>
      </c>
      <c r="E3" s="4" t="s">
        <v>5</v>
      </c>
      <c r="F3" s="4" t="s">
        <v>15</v>
      </c>
      <c r="G3" s="4" t="s">
        <v>16</v>
      </c>
      <c r="H3" s="4" t="s">
        <v>0</v>
      </c>
    </row>
    <row r="4" spans="1:8">
      <c r="A4" s="2" t="s">
        <v>2</v>
      </c>
      <c r="B4" s="3">
        <v>0</v>
      </c>
      <c r="C4" s="3">
        <v>0</v>
      </c>
      <c r="D4" s="3">
        <v>3136.83</v>
      </c>
      <c r="E4" s="3">
        <v>5253.5</v>
      </c>
      <c r="F4" s="3">
        <f t="shared" ref="F4:F16" si="0">SUM(B4:E4)</f>
        <v>8390.33</v>
      </c>
      <c r="G4" s="3">
        <f>SUM(F4:F16)</f>
        <v>142890.67000000001</v>
      </c>
      <c r="H4" s="2" t="s">
        <v>17</v>
      </c>
    </row>
    <row r="5" spans="1:8">
      <c r="A5" s="2" t="s">
        <v>7</v>
      </c>
      <c r="B5" s="3">
        <v>9660.1299999999992</v>
      </c>
      <c r="C5" s="3">
        <v>6047.97</v>
      </c>
      <c r="D5" s="3">
        <v>2916.04</v>
      </c>
      <c r="E5" s="3">
        <v>2678.59</v>
      </c>
      <c r="F5" s="3">
        <f t="shared" si="0"/>
        <v>21302.73</v>
      </c>
      <c r="G5" s="3">
        <f>SUM(F5:F16)</f>
        <v>134500.34000000003</v>
      </c>
      <c r="H5" s="2" t="s">
        <v>18</v>
      </c>
    </row>
    <row r="6" spans="1:8">
      <c r="A6" s="2" t="s">
        <v>9</v>
      </c>
      <c r="B6" s="3">
        <v>14960.13</v>
      </c>
      <c r="C6" s="3">
        <v>5982.08</v>
      </c>
      <c r="D6" s="3">
        <v>2569.41</v>
      </c>
      <c r="E6" s="3">
        <v>1124.23</v>
      </c>
      <c r="F6" s="3">
        <f t="shared" si="0"/>
        <v>24635.85</v>
      </c>
      <c r="G6" s="3">
        <f>SUM(F6:F16)</f>
        <v>113197.60999999999</v>
      </c>
      <c r="H6" s="2" t="s">
        <v>19</v>
      </c>
    </row>
    <row r="7" spans="1:8">
      <c r="A7" s="2" t="s">
        <v>12</v>
      </c>
      <c r="B7" s="3">
        <v>10503.16</v>
      </c>
      <c r="C7" s="3">
        <v>5982.08</v>
      </c>
      <c r="D7" s="3">
        <v>519.97</v>
      </c>
      <c r="E7" s="3">
        <v>986.98</v>
      </c>
      <c r="F7" s="3">
        <f t="shared" si="0"/>
        <v>17992.189999999999</v>
      </c>
      <c r="G7" s="3">
        <f>SUM(F7:F16)</f>
        <v>88561.76</v>
      </c>
      <c r="H7" s="2" t="s">
        <v>20</v>
      </c>
    </row>
    <row r="8" spans="1:8">
      <c r="A8" s="2" t="s">
        <v>13</v>
      </c>
      <c r="B8" s="3">
        <v>9252.4699999999993</v>
      </c>
      <c r="C8" s="3">
        <v>5834.65</v>
      </c>
      <c r="D8" s="3">
        <v>519.97</v>
      </c>
      <c r="E8" s="3">
        <v>970.9</v>
      </c>
      <c r="F8" s="3">
        <f t="shared" si="0"/>
        <v>16577.989999999998</v>
      </c>
      <c r="G8" s="3">
        <f>SUM(F8:F16)</f>
        <v>70569.570000000007</v>
      </c>
      <c r="H8" s="2" t="s">
        <v>21</v>
      </c>
    </row>
    <row r="9" spans="1:8">
      <c r="A9" s="2" t="s">
        <v>10</v>
      </c>
      <c r="B9" s="3">
        <v>6817.79</v>
      </c>
      <c r="C9" s="3">
        <v>5780.66</v>
      </c>
      <c r="D9" s="3">
        <v>519.97</v>
      </c>
      <c r="E9" s="3">
        <v>293.39999999999998</v>
      </c>
      <c r="F9" s="3">
        <f t="shared" si="0"/>
        <v>13411.82</v>
      </c>
      <c r="G9" s="3">
        <f>SUM(F9:F16)</f>
        <v>53991.58</v>
      </c>
      <c r="H9" s="2" t="s">
        <v>22</v>
      </c>
    </row>
    <row r="10" spans="1:8" ht="29">
      <c r="A10" s="2" t="s">
        <v>6</v>
      </c>
      <c r="B10" s="3">
        <v>0</v>
      </c>
      <c r="C10" s="3">
        <v>0</v>
      </c>
      <c r="D10" s="3">
        <v>519.97</v>
      </c>
      <c r="E10" s="3">
        <v>293.39999999999998</v>
      </c>
      <c r="F10" s="3">
        <f t="shared" si="0"/>
        <v>813.37</v>
      </c>
      <c r="G10" s="3">
        <f>SUM(F10:F16)</f>
        <v>40579.760000000002</v>
      </c>
      <c r="H10" s="2" t="s">
        <v>36</v>
      </c>
    </row>
    <row r="11" spans="1:8">
      <c r="A11" s="2" t="s">
        <v>8</v>
      </c>
      <c r="B11" s="3">
        <v>5227.45</v>
      </c>
      <c r="C11" s="3">
        <v>3495.65</v>
      </c>
      <c r="D11" s="3">
        <v>519.97</v>
      </c>
      <c r="E11" s="3">
        <v>44</v>
      </c>
      <c r="F11" s="3">
        <f t="shared" si="0"/>
        <v>9287.07</v>
      </c>
      <c r="G11" s="3">
        <f>SUM(F11:F16)</f>
        <v>39766.39</v>
      </c>
      <c r="H11" s="2" t="s">
        <v>37</v>
      </c>
    </row>
    <row r="12" spans="1:8">
      <c r="A12" s="2" t="s">
        <v>25</v>
      </c>
      <c r="B12" s="3">
        <v>5227.45</v>
      </c>
      <c r="C12" s="3">
        <v>3156.13</v>
      </c>
      <c r="D12" s="3">
        <v>519.97</v>
      </c>
      <c r="E12" s="3">
        <v>44</v>
      </c>
      <c r="F12" s="3">
        <f t="shared" si="0"/>
        <v>8947.5499999999993</v>
      </c>
      <c r="G12" s="3">
        <f>SUM(F12:F16)</f>
        <v>30479.32</v>
      </c>
      <c r="H12" s="2" t="s">
        <v>38</v>
      </c>
    </row>
    <row r="13" spans="1:8">
      <c r="A13" s="2" t="s">
        <v>27</v>
      </c>
      <c r="B13" s="3">
        <v>5227.45</v>
      </c>
      <c r="C13" s="3">
        <v>2414.9899999999998</v>
      </c>
      <c r="D13" s="3">
        <v>519.97</v>
      </c>
      <c r="E13" s="3">
        <v>44</v>
      </c>
      <c r="F13" s="3">
        <f t="shared" si="0"/>
        <v>8206.41</v>
      </c>
      <c r="G13" s="3">
        <f>SUM(F13:F16)</f>
        <v>21531.77</v>
      </c>
      <c r="H13" s="2" t="s">
        <v>39</v>
      </c>
    </row>
    <row r="14" spans="1:8">
      <c r="A14" s="2" t="s">
        <v>29</v>
      </c>
      <c r="B14" s="3">
        <v>3930.42</v>
      </c>
      <c r="C14" s="3">
        <v>2414.9899999999998</v>
      </c>
      <c r="D14" s="3">
        <v>519.97</v>
      </c>
      <c r="E14" s="3">
        <v>0</v>
      </c>
      <c r="F14" s="3">
        <f t="shared" si="0"/>
        <v>6865.38</v>
      </c>
      <c r="G14" s="3">
        <f>SUM(F14:F16)</f>
        <v>13325.36</v>
      </c>
      <c r="H14" s="2" t="s">
        <v>39</v>
      </c>
    </row>
    <row r="15" spans="1:8">
      <c r="A15" s="2" t="s">
        <v>31</v>
      </c>
      <c r="B15" s="3">
        <v>3930.42</v>
      </c>
      <c r="C15" s="3">
        <v>2009.59</v>
      </c>
      <c r="D15" s="3">
        <v>519.97</v>
      </c>
      <c r="E15" s="3">
        <v>0</v>
      </c>
      <c r="F15" s="3">
        <f t="shared" si="0"/>
        <v>6459.9800000000005</v>
      </c>
      <c r="G15" s="3">
        <f>SUM(F15:F16)</f>
        <v>6459.9800000000005</v>
      </c>
      <c r="H15" s="2" t="s">
        <v>40</v>
      </c>
    </row>
    <row r="16" spans="1:8">
      <c r="A16" s="2" t="s">
        <v>33</v>
      </c>
      <c r="B16" s="3">
        <v>0</v>
      </c>
      <c r="C16" s="3">
        <v>0</v>
      </c>
      <c r="D16" s="3">
        <v>0</v>
      </c>
      <c r="E16" s="3">
        <v>0</v>
      </c>
      <c r="F16" s="3">
        <f t="shared" si="0"/>
        <v>0</v>
      </c>
      <c r="G16" s="3">
        <f>SUM(F16:F16)</f>
        <v>0</v>
      </c>
      <c r="H16" s="2" t="s">
        <v>34</v>
      </c>
    </row>
  </sheetData>
  <mergeCells count="1">
    <mergeCell ref="A2:G2"/>
  </mergeCells>
  <conditionalFormatting sqref="F4:F15">
    <cfRule type="dataBar" priority="3">
      <dataBar>
        <cfvo type="min"/>
        <cfvo type="max"/>
        <color rgb="FF70AD47"/>
      </dataBar>
    </cfRule>
    <cfRule type="dataBar" priority="4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{8C5FB4B5-05DE-4254-B2A5-9418874937A0}</x14:id>
        </ext>
      </extLst>
    </cfRule>
  </conditionalFormatting>
  <conditionalFormatting sqref="F16">
    <cfRule type="dataBar" priority="1">
      <dataBar>
        <cfvo type="min"/>
        <cfvo type="max"/>
        <color rgb="FF70AD47"/>
      </dataBar>
    </cfRule>
    <cfRule type="dataBar" priority="2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{35F4894C-6F00-424F-9469-75150794FAD7}</x14:id>
        </ext>
      </extLst>
    </cfRule>
  </conditionalFormatting>
  <pageMargins left="0.511811024" right="0.511811024" top="0.78740157499999996" bottom="0.78740157499999996" header="0.31496062000000002" footer="0.31496062000000002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C5FB4B5-05DE-4254-B2A5-9418874937A0}">
            <x14:dataBar>
              <x14:cfvo type="min"/>
              <x14:cfvo type="max"/>
              <x14:negativeFillColor auto="1"/>
              <x14:axisColor auto="1"/>
            </x14:dataBar>
          </x14:cfRule>
          <xm:sqref>F4:F15</xm:sqref>
        </x14:conditionalFormatting>
        <x14:conditionalFormatting xmlns:xm="http://schemas.microsoft.com/office/excel/2006/main">
          <x14:cfRule type="dataBar" id="{35F4894C-6F00-424F-9469-75150794FAD7}">
            <x14:dataBar>
              <x14:cfvo type="min"/>
              <x14:cfvo type="max"/>
              <x14:negativeFillColor auto="1"/>
              <x14:axisColor auto="1"/>
            </x14:dataBar>
          </x14:cfRule>
          <xm:sqref>F16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AFC19-2272-4CA0-918E-5FC02DCD8B79}">
  <dimension ref="A1:G16"/>
  <sheetViews>
    <sheetView zoomScale="55" zoomScaleNormal="55" workbookViewId="0">
      <selection activeCell="C32" sqref="C32"/>
    </sheetView>
  </sheetViews>
  <sheetFormatPr defaultRowHeight="14.5"/>
  <cols>
    <col min="1" max="1" width="17.1796875" customWidth="1"/>
    <col min="2" max="2" width="17.54296875" customWidth="1"/>
    <col min="3" max="3" width="14.90625" customWidth="1"/>
    <col min="4" max="4" width="25.6328125" customWidth="1"/>
    <col min="5" max="5" width="27.7265625" customWidth="1"/>
    <col min="6" max="6" width="14.81640625" customWidth="1"/>
    <col min="7" max="7" width="31.54296875" customWidth="1"/>
    <col min="8" max="8" width="62.81640625" customWidth="1"/>
  </cols>
  <sheetData>
    <row r="1" spans="1:7" s="1" customFormat="1">
      <c r="A1" s="5" t="s">
        <v>41</v>
      </c>
    </row>
    <row r="2" spans="1:7">
      <c r="A2" s="7"/>
      <c r="B2" s="7"/>
      <c r="C2" s="7"/>
      <c r="D2" s="7"/>
      <c r="E2" s="7"/>
      <c r="F2" s="7"/>
      <c r="G2" s="7"/>
    </row>
    <row r="3" spans="1:7">
      <c r="A3" s="4" t="s">
        <v>11</v>
      </c>
      <c r="B3" s="4" t="s">
        <v>42</v>
      </c>
      <c r="C3" s="4" t="s">
        <v>43</v>
      </c>
      <c r="D3" s="4" t="s">
        <v>44</v>
      </c>
      <c r="E3" s="4" t="s">
        <v>45</v>
      </c>
    </row>
    <row r="4" spans="1:7">
      <c r="A4" s="2" t="s">
        <v>2</v>
      </c>
      <c r="B4" s="3">
        <f>'Monthly schedule'!F4</f>
        <v>8390.33</v>
      </c>
      <c r="C4" s="3">
        <f>'January deferral'!F4</f>
        <v>8390.33</v>
      </c>
      <c r="D4" s="3">
        <f t="shared" ref="D4:D16" si="0">B4-C4</f>
        <v>0</v>
      </c>
      <c r="E4" s="2" t="str">
        <f t="shared" ref="E4:E16" si="1">IF(D4&gt;0,"Lower cash need this month",IF(D4&lt;0,"Shifted cost from prior month","No difference"))</f>
        <v>No difference</v>
      </c>
    </row>
    <row r="5" spans="1:7">
      <c r="A5" s="2" t="s">
        <v>7</v>
      </c>
      <c r="B5" s="3">
        <f>'Monthly schedule'!F5</f>
        <v>21302.73</v>
      </c>
      <c r="C5" s="3">
        <f>'January deferral'!F5</f>
        <v>21302.73</v>
      </c>
      <c r="D5" s="3">
        <f t="shared" si="0"/>
        <v>0</v>
      </c>
      <c r="E5" s="2" t="str">
        <f t="shared" si="1"/>
        <v>No difference</v>
      </c>
    </row>
    <row r="6" spans="1:7">
      <c r="A6" s="2" t="s">
        <v>9</v>
      </c>
      <c r="B6" s="3">
        <f>'Monthly schedule'!F6</f>
        <v>24635.85</v>
      </c>
      <c r="C6" s="3">
        <f>'January deferral'!F6</f>
        <v>24635.85</v>
      </c>
      <c r="D6" s="3">
        <f t="shared" si="0"/>
        <v>0</v>
      </c>
      <c r="E6" s="2" t="str">
        <f t="shared" si="1"/>
        <v>No difference</v>
      </c>
    </row>
    <row r="7" spans="1:7">
      <c r="A7" s="2" t="s">
        <v>12</v>
      </c>
      <c r="B7" s="3">
        <f>'Monthly schedule'!F7</f>
        <v>17992.189999999999</v>
      </c>
      <c r="C7" s="3">
        <f>'January deferral'!F7</f>
        <v>17992.189999999999</v>
      </c>
      <c r="D7" s="3">
        <f t="shared" si="0"/>
        <v>0</v>
      </c>
      <c r="E7" s="2" t="str">
        <f t="shared" si="1"/>
        <v>No difference</v>
      </c>
    </row>
    <row r="8" spans="1:7">
      <c r="A8" s="2" t="s">
        <v>13</v>
      </c>
      <c r="B8" s="3">
        <f>'Monthly schedule'!F8</f>
        <v>16577.989999999998</v>
      </c>
      <c r="C8" s="3">
        <f>'January deferral'!F8</f>
        <v>16577.989999999998</v>
      </c>
      <c r="D8" s="3">
        <f t="shared" si="0"/>
        <v>0</v>
      </c>
      <c r="E8" s="2" t="str">
        <f t="shared" si="1"/>
        <v>No difference</v>
      </c>
    </row>
    <row r="9" spans="1:7">
      <c r="A9" s="2" t="s">
        <v>10</v>
      </c>
      <c r="B9" s="3">
        <f>'Monthly schedule'!F9</f>
        <v>13411.82</v>
      </c>
      <c r="C9" s="3">
        <f>'January deferral'!F9</f>
        <v>13411.82</v>
      </c>
      <c r="D9" s="3">
        <f t="shared" si="0"/>
        <v>0</v>
      </c>
      <c r="E9" s="2" t="str">
        <f t="shared" si="1"/>
        <v>No difference</v>
      </c>
    </row>
    <row r="10" spans="1:7">
      <c r="A10" s="2" t="s">
        <v>6</v>
      </c>
      <c r="B10" s="3">
        <f>'Monthly schedule'!F10</f>
        <v>9536.4699999999993</v>
      </c>
      <c r="C10" s="3">
        <f>'January deferral'!F10</f>
        <v>813.37</v>
      </c>
      <c r="D10" s="3">
        <f t="shared" si="0"/>
        <v>8723.0999999999985</v>
      </c>
      <c r="E10" s="2" t="str">
        <f t="shared" si="1"/>
        <v>Lower cash need this month</v>
      </c>
    </row>
    <row r="11" spans="1:7">
      <c r="A11" s="2" t="s">
        <v>8</v>
      </c>
      <c r="B11" s="3">
        <f>'Monthly schedule'!F11</f>
        <v>8947.5499999999993</v>
      </c>
      <c r="C11" s="3">
        <f>'January deferral'!F11</f>
        <v>9287.07</v>
      </c>
      <c r="D11" s="3">
        <f t="shared" si="0"/>
        <v>-339.52000000000044</v>
      </c>
      <c r="E11" s="2" t="str">
        <f t="shared" si="1"/>
        <v>Shifted cost from prior month</v>
      </c>
    </row>
    <row r="12" spans="1:7">
      <c r="A12" s="2" t="s">
        <v>25</v>
      </c>
      <c r="B12" s="3">
        <f>'Monthly schedule'!F12</f>
        <v>8206.41</v>
      </c>
      <c r="C12" s="3">
        <f>'January deferral'!F12</f>
        <v>8947.5499999999993</v>
      </c>
      <c r="D12" s="3">
        <f t="shared" si="0"/>
        <v>-741.13999999999942</v>
      </c>
      <c r="E12" s="2" t="str">
        <f t="shared" si="1"/>
        <v>Shifted cost from prior month</v>
      </c>
    </row>
    <row r="13" spans="1:7">
      <c r="A13" s="2" t="s">
        <v>27</v>
      </c>
      <c r="B13" s="3">
        <f>'Monthly schedule'!F13</f>
        <v>6909.38</v>
      </c>
      <c r="C13" s="3">
        <f>'January deferral'!F13</f>
        <v>8206.41</v>
      </c>
      <c r="D13" s="3">
        <f t="shared" si="0"/>
        <v>-1297.0299999999997</v>
      </c>
      <c r="E13" s="2" t="str">
        <f t="shared" si="1"/>
        <v>Shifted cost from prior month</v>
      </c>
    </row>
    <row r="14" spans="1:7">
      <c r="A14" s="2" t="s">
        <v>29</v>
      </c>
      <c r="B14" s="3">
        <f>'Monthly schedule'!F14</f>
        <v>6459.9800000000005</v>
      </c>
      <c r="C14" s="3">
        <f>'January deferral'!F14</f>
        <v>6865.38</v>
      </c>
      <c r="D14" s="3">
        <f t="shared" si="0"/>
        <v>-405.39999999999964</v>
      </c>
      <c r="E14" s="2" t="str">
        <f t="shared" si="1"/>
        <v>Shifted cost from prior month</v>
      </c>
    </row>
    <row r="15" spans="1:7">
      <c r="A15" s="2" t="s">
        <v>31</v>
      </c>
      <c r="B15" s="3">
        <f>'Monthly schedule'!F15</f>
        <v>0</v>
      </c>
      <c r="C15" s="3">
        <f>'January deferral'!F15</f>
        <v>6459.9800000000005</v>
      </c>
      <c r="D15" s="3">
        <f t="shared" si="0"/>
        <v>-6459.9800000000005</v>
      </c>
      <c r="E15" s="2" t="str">
        <f t="shared" si="1"/>
        <v>Shifted cost from prior month</v>
      </c>
    </row>
    <row r="16" spans="1:7">
      <c r="A16" s="2" t="s">
        <v>33</v>
      </c>
      <c r="B16" s="3">
        <f>'Monthly schedule'!F16</f>
        <v>0</v>
      </c>
      <c r="C16" s="3">
        <f>'January deferral'!F16</f>
        <v>0</v>
      </c>
      <c r="D16" s="3">
        <f t="shared" si="0"/>
        <v>0</v>
      </c>
      <c r="E16" s="2" t="str">
        <f t="shared" si="1"/>
        <v>No difference</v>
      </c>
    </row>
  </sheetData>
  <mergeCells count="1">
    <mergeCell ref="A2:G2"/>
  </mergeCells>
  <conditionalFormatting sqref="F4:F15">
    <cfRule type="dataBar" priority="3">
      <dataBar>
        <cfvo type="min"/>
        <cfvo type="max"/>
        <color rgb="FF70AD47"/>
      </dataBar>
    </cfRule>
    <cfRule type="dataBar" priority="4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{D5482E1A-7F87-4D7B-8F27-77E6DF519FFE}</x14:id>
        </ext>
      </extLst>
    </cfRule>
  </conditionalFormatting>
  <conditionalFormatting sqref="F16">
    <cfRule type="dataBar" priority="1">
      <dataBar>
        <cfvo type="min"/>
        <cfvo type="max"/>
        <color rgb="FF70AD47"/>
      </dataBar>
    </cfRule>
    <cfRule type="dataBar" priority="2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{BC0299C2-89B6-43AC-A6C1-720C1B6D4B8B}</x14:id>
        </ext>
      </extLst>
    </cfRule>
  </conditionalFormatting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5482E1A-7F87-4D7B-8F27-77E6DF519FFE}">
            <x14:dataBar>
              <x14:cfvo type="min"/>
              <x14:cfvo type="max"/>
              <x14:negativeFillColor auto="1"/>
              <x14:axisColor auto="1"/>
            </x14:dataBar>
          </x14:cfRule>
          <xm:sqref>F4:F15</xm:sqref>
        </x14:conditionalFormatting>
        <x14:conditionalFormatting xmlns:xm="http://schemas.microsoft.com/office/excel/2006/main">
          <x14:cfRule type="dataBar" id="{BC0299C2-89B6-43AC-A6C1-720C1B6D4B8B}">
            <x14:dataBar>
              <x14:cfvo type="min"/>
              <x14:cfvo type="max"/>
              <x14:negativeFillColor auto="1"/>
              <x14:axisColor auto="1"/>
            </x14:dataBar>
          </x14:cfRule>
          <xm:sqref>F16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4132E-4D25-4014-97F9-6C3E9C75B08F}">
  <dimension ref="A1:F16"/>
  <sheetViews>
    <sheetView tabSelected="1" zoomScale="55" zoomScaleNormal="55" workbookViewId="0">
      <selection activeCell="C18" sqref="C18"/>
    </sheetView>
  </sheetViews>
  <sheetFormatPr defaultRowHeight="14.5"/>
  <cols>
    <col min="1" max="1" width="22.453125" customWidth="1"/>
    <col min="2" max="2" width="24" customWidth="1"/>
    <col min="3" max="3" width="22.6328125" customWidth="1"/>
    <col min="4" max="4" width="30.26953125" customWidth="1"/>
    <col min="5" max="5" width="14.81640625" customWidth="1"/>
    <col min="6" max="6" width="31.54296875" customWidth="1"/>
    <col min="7" max="7" width="62.81640625" customWidth="1"/>
  </cols>
  <sheetData>
    <row r="1" spans="1:6" s="1" customFormat="1">
      <c r="A1" s="5" t="s">
        <v>41</v>
      </c>
    </row>
    <row r="2" spans="1:6">
      <c r="A2" s="7"/>
      <c r="B2" s="7"/>
      <c r="C2" s="7"/>
      <c r="D2" s="7"/>
      <c r="E2" s="7"/>
      <c r="F2" s="7"/>
    </row>
    <row r="3" spans="1:6">
      <c r="A3" s="4" t="s">
        <v>46</v>
      </c>
      <c r="B3" s="4" t="s">
        <v>47</v>
      </c>
      <c r="C3" s="4" t="s">
        <v>48</v>
      </c>
      <c r="D3" s="4" t="s">
        <v>49</v>
      </c>
    </row>
    <row r="4" spans="1:6" ht="29">
      <c r="A4" s="15" t="s">
        <v>50</v>
      </c>
      <c r="B4" s="15" t="s">
        <v>51</v>
      </c>
      <c r="C4" s="15" t="s">
        <v>52</v>
      </c>
      <c r="D4" s="15" t="s">
        <v>53</v>
      </c>
    </row>
    <row r="5" spans="1:6" ht="43.5">
      <c r="A5" s="15" t="s">
        <v>54</v>
      </c>
      <c r="B5" s="15" t="s">
        <v>55</v>
      </c>
      <c r="C5" s="15" t="s">
        <v>56</v>
      </c>
      <c r="D5" s="15" t="s">
        <v>57</v>
      </c>
    </row>
    <row r="6" spans="1:6" ht="29">
      <c r="A6" s="15" t="s">
        <v>58</v>
      </c>
      <c r="B6" s="15" t="s">
        <v>59</v>
      </c>
      <c r="C6" s="15" t="s">
        <v>60</v>
      </c>
      <c r="D6" s="15" t="s">
        <v>61</v>
      </c>
    </row>
    <row r="7" spans="1:6">
      <c r="A7" s="2"/>
      <c r="B7" s="3"/>
      <c r="C7" s="3"/>
      <c r="D7" s="3"/>
    </row>
    <row r="8" spans="1:6">
      <c r="A8" s="2"/>
      <c r="B8" s="3"/>
      <c r="C8" s="3"/>
      <c r="D8" s="3"/>
    </row>
    <row r="9" spans="1:6">
      <c r="A9" s="2"/>
      <c r="B9" s="3"/>
      <c r="C9" s="3"/>
      <c r="D9" s="3"/>
    </row>
    <row r="10" spans="1:6">
      <c r="A10" s="2"/>
      <c r="B10" s="3"/>
      <c r="C10" s="3"/>
      <c r="D10" s="3"/>
    </row>
    <row r="11" spans="1:6">
      <c r="A11" s="2"/>
      <c r="B11" s="3"/>
      <c r="C11" s="3"/>
      <c r="D11" s="3"/>
    </row>
    <row r="12" spans="1:6">
      <c r="A12" s="2"/>
      <c r="B12" s="3"/>
      <c r="C12" s="3"/>
      <c r="D12" s="3"/>
    </row>
    <row r="13" spans="1:6">
      <c r="A13" s="2"/>
      <c r="B13" s="3"/>
      <c r="C13" s="3"/>
      <c r="D13" s="3"/>
    </row>
    <row r="14" spans="1:6">
      <c r="A14" s="2"/>
      <c r="B14" s="3"/>
      <c r="C14" s="3"/>
      <c r="D14" s="3"/>
    </row>
    <row r="15" spans="1:6">
      <c r="A15" s="2"/>
      <c r="B15" s="3"/>
      <c r="C15" s="3"/>
      <c r="D15" s="3"/>
    </row>
    <row r="16" spans="1:6">
      <c r="A16" s="2"/>
      <c r="B16" s="3"/>
      <c r="C16" s="3"/>
      <c r="D16" s="3"/>
    </row>
  </sheetData>
  <mergeCells count="1">
    <mergeCell ref="A2:F2"/>
  </mergeCells>
  <conditionalFormatting sqref="E4:E15">
    <cfRule type="dataBar" priority="3">
      <dataBar>
        <cfvo type="min"/>
        <cfvo type="max"/>
        <color rgb="FF70AD47"/>
      </dataBar>
    </cfRule>
    <cfRule type="dataBar" priority="4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{0DC83A5B-F04A-4061-9B52-32E49C523469}</x14:id>
        </ext>
      </extLst>
    </cfRule>
  </conditionalFormatting>
  <conditionalFormatting sqref="E16">
    <cfRule type="dataBar" priority="1">
      <dataBar>
        <cfvo type="min"/>
        <cfvo type="max"/>
        <color rgb="FF70AD47"/>
      </dataBar>
    </cfRule>
    <cfRule type="dataBar" priority="2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{AAC5A697-EB63-4327-B98A-35D59C2FC471}</x14:id>
        </ext>
      </extLst>
    </cfRule>
  </conditionalFormatting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C83A5B-F04A-4061-9B52-32E49C523469}">
            <x14:dataBar>
              <x14:cfvo type="min"/>
              <x14:cfvo type="max"/>
              <x14:negativeFillColor auto="1"/>
              <x14:axisColor auto="1"/>
            </x14:dataBar>
          </x14:cfRule>
          <xm:sqref>E4:E15</xm:sqref>
        </x14:conditionalFormatting>
        <x14:conditionalFormatting xmlns:xm="http://schemas.microsoft.com/office/excel/2006/main">
          <x14:cfRule type="dataBar" id="{AAC5A697-EB63-4327-B98A-35D59C2FC471}">
            <x14:dataBar>
              <x14:cfvo type="min"/>
              <x14:cfvo type="max"/>
              <x14:negativeFillColor auto="1"/>
              <x14:axisColor auto="1"/>
            </x14:dataBar>
          </x14:cfRule>
          <xm:sqref>E16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Monthly schedule</vt:lpstr>
      <vt:lpstr>January deferral</vt:lpstr>
      <vt:lpstr>Remaining balance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Aurea Carvalho</dc:creator>
  <cp:lastModifiedBy>Aurea Carvalho</cp:lastModifiedBy>
  <dcterms:created xsi:type="dcterms:W3CDTF">2026-06-29T02:03:56Z</dcterms:created>
  <dcterms:modified xsi:type="dcterms:W3CDTF">2026-06-29T04:19:57Z</dcterms:modified>
</cp:coreProperties>
</file>